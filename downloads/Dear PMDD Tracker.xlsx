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kirstyhorton/Downloads/site/downloads/"/>
    </mc:Choice>
  </mc:AlternateContent>
  <xr:revisionPtr revIDLastSave="0" documentId="13_ncr:1_{B4DD004C-9A8E-AA4D-863C-1983A7A2149C}" xr6:coauthVersionLast="47" xr6:coauthVersionMax="47" xr10:uidLastSave="{00000000-0000-0000-0000-000000000000}"/>
  <bookViews>
    <workbookView xWindow="40" yWindow="600" windowWidth="28680" windowHeight="15880" activeTab="6" xr2:uid="{00000000-000D-0000-FFFF-FFFF00000000}"/>
  </bookViews>
  <sheets>
    <sheet name="How to Use" sheetId="7" r:id="rId1"/>
    <sheet name="Setup" sheetId="2" r:id="rId2"/>
    <sheet name="Tracker" sheetId="1" r:id="rId3"/>
    <sheet name="Dashboard" sheetId="4" r:id="rId4"/>
    <sheet name="FAQ" sheetId="5" r:id="rId5"/>
    <sheet name="Your Doctor Visit" sheetId="6" r:id="rId6"/>
    <sheet name="Symptom Pattern Report" sheetId="8" r:id="rId7"/>
  </sheets>
  <definedNames>
    <definedName name="_xlnm.Print_Area" localSheetId="6">'Symptom Pattern Report'!$A$1:$AF$55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8" l="1"/>
  <c r="B10" i="8"/>
  <c r="P15" i="4"/>
  <c r="AA40" i="8"/>
  <c r="AA38" i="8"/>
  <c r="AA36" i="8"/>
  <c r="P16" i="4"/>
  <c r="B4" i="4"/>
  <c r="C4" i="4"/>
  <c r="D4" i="4"/>
  <c r="E4" i="4"/>
  <c r="F4" i="4"/>
  <c r="G4" i="4"/>
  <c r="H4" i="4"/>
  <c r="I4" i="4"/>
  <c r="J4" i="4"/>
  <c r="K4" i="4"/>
  <c r="L4" i="4"/>
  <c r="M4" i="4"/>
  <c r="P4" i="4"/>
  <c r="B5" i="4"/>
  <c r="P10" i="8" s="1"/>
  <c r="C5" i="4"/>
  <c r="C14" i="4" s="1"/>
  <c r="D5" i="4"/>
  <c r="D14" i="4" s="1"/>
  <c r="D15" i="4" s="1"/>
  <c r="E5" i="4"/>
  <c r="F5" i="4"/>
  <c r="G5" i="4"/>
  <c r="H5" i="4"/>
  <c r="I5" i="4"/>
  <c r="I13" i="4" s="1"/>
  <c r="J5" i="4"/>
  <c r="K5" i="4"/>
  <c r="K14" i="4" s="1"/>
  <c r="L5" i="4"/>
  <c r="L14" i="4" s="1"/>
  <c r="M5" i="4"/>
  <c r="P5" i="4"/>
  <c r="B6" i="4"/>
  <c r="C6" i="4"/>
  <c r="D6" i="4"/>
  <c r="E6" i="4"/>
  <c r="F6" i="4"/>
  <c r="G6" i="4"/>
  <c r="H6" i="4"/>
  <c r="I6" i="4"/>
  <c r="J6" i="4"/>
  <c r="K6" i="4"/>
  <c r="L6" i="4"/>
  <c r="M6" i="4"/>
  <c r="B7" i="4"/>
  <c r="C7" i="4"/>
  <c r="D7" i="4"/>
  <c r="E7" i="4"/>
  <c r="F7" i="4"/>
  <c r="G7" i="4"/>
  <c r="H7" i="4"/>
  <c r="I7" i="4"/>
  <c r="J7" i="4"/>
  <c r="K7" i="4"/>
  <c r="L7" i="4"/>
  <c r="M7" i="4"/>
  <c r="B8" i="4"/>
  <c r="C8" i="4"/>
  <c r="D8" i="4"/>
  <c r="E8" i="4"/>
  <c r="F8" i="4"/>
  <c r="G8" i="4"/>
  <c r="H8" i="4"/>
  <c r="I8" i="4"/>
  <c r="J8" i="4"/>
  <c r="K8" i="4"/>
  <c r="L8" i="4"/>
  <c r="M8" i="4"/>
  <c r="P8" i="4" a="1"/>
  <c r="P8" i="4" s="1"/>
  <c r="B9" i="4"/>
  <c r="C9" i="4"/>
  <c r="D9" i="4"/>
  <c r="E9" i="4"/>
  <c r="F9" i="4"/>
  <c r="G9" i="4"/>
  <c r="H9" i="4"/>
  <c r="I9" i="4"/>
  <c r="J9" i="4"/>
  <c r="K9" i="4"/>
  <c r="L9" i="4"/>
  <c r="M9" i="4"/>
  <c r="B10" i="4"/>
  <c r="C10" i="4"/>
  <c r="D10" i="4"/>
  <c r="E10" i="4"/>
  <c r="F10" i="4"/>
  <c r="G10" i="4"/>
  <c r="H10" i="4"/>
  <c r="I10" i="4"/>
  <c r="J10" i="4"/>
  <c r="K10" i="4"/>
  <c r="L10" i="4"/>
  <c r="M10" i="4"/>
  <c r="B13" i="4"/>
  <c r="D13" i="4"/>
  <c r="E13" i="4"/>
  <c r="F13" i="4"/>
  <c r="G13" i="4"/>
  <c r="G15" i="4" s="1"/>
  <c r="H13" i="4"/>
  <c r="J13" i="4"/>
  <c r="L13" i="4"/>
  <c r="M13" i="4"/>
  <c r="B14" i="4"/>
  <c r="B15" i="4" s="1"/>
  <c r="E14" i="4"/>
  <c r="F14" i="4"/>
  <c r="G14" i="4"/>
  <c r="H14" i="4"/>
  <c r="I14" i="4"/>
  <c r="J14" i="4"/>
  <c r="M14" i="4"/>
  <c r="E15" i="4"/>
  <c r="F15" i="4"/>
  <c r="H15" i="4"/>
  <c r="I15" i="4"/>
  <c r="J15" i="4"/>
  <c r="K15" i="4"/>
  <c r="L15" i="4"/>
  <c r="M15" i="4"/>
  <c r="AM26" i="1"/>
  <c r="AL26" i="1"/>
  <c r="AM21" i="1"/>
  <c r="AL21" i="1"/>
  <c r="AM16" i="1"/>
  <c r="AL16" i="1"/>
  <c r="AM11" i="1"/>
  <c r="AL11" i="1"/>
  <c r="AM6" i="1"/>
  <c r="AJ26" i="1"/>
  <c r="AI26" i="1"/>
  <c r="AH26" i="1"/>
  <c r="AG26" i="1"/>
  <c r="AF26" i="1"/>
  <c r="AJ21" i="1"/>
  <c r="AI21" i="1"/>
  <c r="AH21" i="1"/>
  <c r="AG21" i="1"/>
  <c r="AF21" i="1"/>
  <c r="AJ16" i="1"/>
  <c r="AI16" i="1"/>
  <c r="AH16" i="1"/>
  <c r="AG16" i="1"/>
  <c r="AF16" i="1"/>
  <c r="AJ11" i="1"/>
  <c r="AI11" i="1"/>
  <c r="AH11" i="1"/>
  <c r="AG11" i="1"/>
  <c r="AF11" i="1"/>
  <c r="B11" i="1"/>
  <c r="B16" i="1" s="1"/>
  <c r="B21" i="1" s="1"/>
  <c r="B26" i="1" s="1"/>
  <c r="C26" i="1" s="1"/>
  <c r="D26" i="1" s="1"/>
  <c r="E26" i="1" s="1"/>
  <c r="F26" i="1" s="1"/>
  <c r="G26" i="1" s="1"/>
  <c r="H26" i="1" s="1"/>
  <c r="I26" i="1" s="1"/>
  <c r="J26" i="1" s="1"/>
  <c r="K26" i="1" s="1"/>
  <c r="L26" i="1" s="1"/>
  <c r="M26" i="1" s="1"/>
  <c r="N26" i="1" s="1"/>
  <c r="O26" i="1" s="1"/>
  <c r="P26" i="1" s="1"/>
  <c r="Q26" i="1" s="1"/>
  <c r="R26" i="1" s="1"/>
  <c r="S26" i="1" s="1"/>
  <c r="T26" i="1" s="1"/>
  <c r="U26" i="1" s="1"/>
  <c r="V26" i="1" s="1"/>
  <c r="W26" i="1" s="1"/>
  <c r="X26" i="1" s="1"/>
  <c r="Y26" i="1" s="1"/>
  <c r="Z26" i="1" s="1"/>
  <c r="AA26" i="1" s="1"/>
  <c r="AB26" i="1" s="1"/>
  <c r="AC26" i="1" s="1"/>
  <c r="AD26" i="1" s="1"/>
  <c r="AE26" i="1" s="1"/>
  <c r="AJ6" i="1"/>
  <c r="AI6" i="1"/>
  <c r="AH6" i="1"/>
  <c r="B6" i="1"/>
  <c r="C6" i="1" s="1"/>
  <c r="D6" i="1" s="1"/>
  <c r="E6" i="1" s="1"/>
  <c r="F6" i="1" s="1"/>
  <c r="G6" i="1" s="1"/>
  <c r="H6" i="1" s="1"/>
  <c r="I6" i="1" s="1"/>
  <c r="J6" i="1" s="1"/>
  <c r="K6" i="1" s="1"/>
  <c r="L6" i="1" s="1"/>
  <c r="M6" i="1" s="1"/>
  <c r="N6" i="1" s="1"/>
  <c r="O6" i="1" s="1"/>
  <c r="P6" i="1" s="1"/>
  <c r="Q6" i="1" s="1"/>
  <c r="R6" i="1" s="1"/>
  <c r="S6" i="1" s="1"/>
  <c r="T6" i="1" s="1"/>
  <c r="U6" i="1" s="1"/>
  <c r="V6" i="1" s="1"/>
  <c r="W6" i="1" s="1"/>
  <c r="X6" i="1" s="1"/>
  <c r="Y6" i="1" s="1"/>
  <c r="Z6" i="1" s="1"/>
  <c r="AA6" i="1" s="1"/>
  <c r="AB6" i="1" s="1"/>
  <c r="AC6" i="1" s="1"/>
  <c r="AD6" i="1" s="1"/>
  <c r="AE6" i="1" s="1"/>
  <c r="AF6" i="1" s="1"/>
  <c r="AG6" i="1" s="1"/>
  <c r="AJ3" i="1"/>
  <c r="AJ2" i="1"/>
  <c r="AI3" i="1"/>
  <c r="AI2" i="1"/>
  <c r="AH3" i="1"/>
  <c r="AH2" i="1"/>
  <c r="AG3" i="1"/>
  <c r="AG2" i="1"/>
  <c r="AF3" i="1"/>
  <c r="AF2" i="1"/>
  <c r="AE3" i="1"/>
  <c r="AE2" i="1"/>
  <c r="AD3" i="1"/>
  <c r="AD2" i="1"/>
  <c r="AC3" i="1"/>
  <c r="AE21" i="8" s="1"/>
  <c r="AC2" i="1"/>
  <c r="AB3" i="1"/>
  <c r="AD21" i="8" s="1"/>
  <c r="AB2" i="1"/>
  <c r="AA3" i="1"/>
  <c r="AC21" i="8" s="1"/>
  <c r="AA2" i="1"/>
  <c r="Z3" i="1"/>
  <c r="AB21" i="8" s="1"/>
  <c r="Z2" i="1"/>
  <c r="Y3" i="1"/>
  <c r="Y2" i="1"/>
  <c r="X3" i="1"/>
  <c r="Z21" i="8" s="1"/>
  <c r="X2" i="1"/>
  <c r="W3" i="1"/>
  <c r="Y21" i="8" s="1"/>
  <c r="W2" i="1"/>
  <c r="V3" i="1"/>
  <c r="X21" i="8" s="1"/>
  <c r="V2" i="1"/>
  <c r="U3" i="1"/>
  <c r="U2" i="1"/>
  <c r="T3" i="1"/>
  <c r="V21" i="8" s="1"/>
  <c r="T2" i="1"/>
  <c r="S3" i="1"/>
  <c r="U21" i="8" s="1"/>
  <c r="S2" i="1"/>
  <c r="R3" i="1"/>
  <c r="T21" i="8" s="1"/>
  <c r="R2" i="1"/>
  <c r="Q3" i="1"/>
  <c r="S21" i="8" s="1"/>
  <c r="Q2" i="1"/>
  <c r="P3" i="1"/>
  <c r="R21" i="8" s="1"/>
  <c r="P2" i="1"/>
  <c r="O3" i="1"/>
  <c r="Q21" i="8" s="1"/>
  <c r="O2" i="1"/>
  <c r="N3" i="1"/>
  <c r="P21" i="8" s="1"/>
  <c r="N2" i="1"/>
  <c r="M3" i="1"/>
  <c r="O21" i="8" s="1"/>
  <c r="M2" i="1"/>
  <c r="L3" i="1"/>
  <c r="N21" i="8" s="1"/>
  <c r="L2" i="1"/>
  <c r="K3" i="1"/>
  <c r="M21" i="8" s="1"/>
  <c r="K2" i="1"/>
  <c r="J3" i="1"/>
  <c r="L21" i="8" s="1"/>
  <c r="J2" i="1"/>
  <c r="I3" i="1"/>
  <c r="K21" i="8" s="1"/>
  <c r="I2" i="1"/>
  <c r="H3" i="1"/>
  <c r="J21" i="8" s="1"/>
  <c r="H2" i="1"/>
  <c r="G3" i="1"/>
  <c r="I21" i="8" s="1"/>
  <c r="G2" i="1"/>
  <c r="F3" i="1"/>
  <c r="H21" i="8" s="1"/>
  <c r="F2" i="1"/>
  <c r="E3" i="1"/>
  <c r="G21" i="8" s="1"/>
  <c r="E2" i="1"/>
  <c r="D3" i="1"/>
  <c r="F21" i="8" s="1"/>
  <c r="D2" i="1"/>
  <c r="C3" i="1"/>
  <c r="E21" i="8" s="1"/>
  <c r="C2" i="1"/>
  <c r="B3" i="1"/>
  <c r="D21" i="8" s="1"/>
  <c r="B2" i="1"/>
  <c r="W21" i="8"/>
  <c r="P15" i="8"/>
  <c r="W10" i="8"/>
  <c r="AE27" i="8"/>
  <c r="AD27" i="8"/>
  <c r="AC27" i="8"/>
  <c r="AB27" i="8"/>
  <c r="AA27" i="8"/>
  <c r="Z27" i="8"/>
  <c r="Y27" i="8"/>
  <c r="X27" i="8"/>
  <c r="W27" i="8"/>
  <c r="V27" i="8"/>
  <c r="U27" i="8"/>
  <c r="T27" i="8"/>
  <c r="S27" i="8"/>
  <c r="R27" i="8"/>
  <c r="Q27" i="8"/>
  <c r="P27" i="8"/>
  <c r="O27" i="8"/>
  <c r="N27" i="8"/>
  <c r="M27" i="8"/>
  <c r="L27" i="8"/>
  <c r="K27" i="8"/>
  <c r="J27" i="8"/>
  <c r="I27" i="8"/>
  <c r="H27" i="8"/>
  <c r="G27" i="8"/>
  <c r="F27" i="8"/>
  <c r="E27" i="8"/>
  <c r="D27" i="8"/>
  <c r="AE25" i="8"/>
  <c r="AD25" i="8"/>
  <c r="AC25" i="8"/>
  <c r="AB25" i="8"/>
  <c r="AA25" i="8"/>
  <c r="Z25" i="8"/>
  <c r="Y25" i="8"/>
  <c r="X25" i="8"/>
  <c r="W25" i="8"/>
  <c r="V25" i="8"/>
  <c r="U25" i="8"/>
  <c r="T25" i="8"/>
  <c r="S25" i="8"/>
  <c r="R25" i="8"/>
  <c r="Q25" i="8"/>
  <c r="P25" i="8"/>
  <c r="O25" i="8"/>
  <c r="N25" i="8"/>
  <c r="M25" i="8"/>
  <c r="L25" i="8"/>
  <c r="K25" i="8"/>
  <c r="J25" i="8"/>
  <c r="I25" i="8"/>
  <c r="H25" i="8"/>
  <c r="G25" i="8"/>
  <c r="F25" i="8"/>
  <c r="E25" i="8"/>
  <c r="D25" i="8"/>
  <c r="AE23" i="8"/>
  <c r="AD23" i="8"/>
  <c r="AC23" i="8"/>
  <c r="AB23" i="8"/>
  <c r="AA23" i="8"/>
  <c r="Z23" i="8"/>
  <c r="Y23" i="8"/>
  <c r="X23" i="8"/>
  <c r="W23" i="8"/>
  <c r="V23" i="8"/>
  <c r="U23" i="8"/>
  <c r="T23" i="8"/>
  <c r="S23" i="8"/>
  <c r="R23" i="8"/>
  <c r="Q23" i="8"/>
  <c r="P23" i="8"/>
  <c r="O23" i="8"/>
  <c r="N23" i="8"/>
  <c r="M23" i="8"/>
  <c r="L23" i="8"/>
  <c r="K23" i="8"/>
  <c r="J23" i="8"/>
  <c r="I23" i="8"/>
  <c r="H23" i="8"/>
  <c r="G23" i="8"/>
  <c r="F23" i="8"/>
  <c r="E23" i="8"/>
  <c r="D23" i="8"/>
  <c r="AF61" i="1"/>
  <c r="AF56" i="1"/>
  <c r="AF51" i="1"/>
  <c r="AF46" i="1"/>
  <c r="AF41" i="1"/>
  <c r="AF36" i="1"/>
  <c r="AF31" i="1"/>
  <c r="B10" i="1" a="1"/>
  <c r="B10" i="1" s="1"/>
  <c r="B15" i="1" s="1" a="1"/>
  <c r="B15" i="1" s="1"/>
  <c r="B20" i="1" s="1" a="1"/>
  <c r="B20" i="1" s="1"/>
  <c r="B25" i="1" s="1" a="1"/>
  <c r="B25" i="1" s="1"/>
  <c r="B30" i="1" s="1" a="1"/>
  <c r="B30" i="1" s="1"/>
  <c r="B35" i="1" s="1" a="1"/>
  <c r="B35" i="1" s="1"/>
  <c r="B40" i="1" s="1" a="1"/>
  <c r="B40" i="1" s="1"/>
  <c r="B45" i="1" s="1" a="1"/>
  <c r="B45" i="1" s="1"/>
  <c r="B50" i="1" s="1" a="1"/>
  <c r="B50" i="1" s="1"/>
  <c r="B55" i="1" s="1" a="1"/>
  <c r="B55" i="1" s="1"/>
  <c r="B60" i="1" s="1" a="1"/>
  <c r="B60" i="1" s="1"/>
  <c r="C15" i="2"/>
  <c r="C14" i="2"/>
  <c r="C13" i="2"/>
  <c r="C12" i="2"/>
  <c r="C11" i="2"/>
  <c r="P7" i="4" l="1"/>
  <c r="P11" i="4" s="1"/>
  <c r="K13" i="4"/>
  <c r="C13" i="4"/>
  <c r="C15" i="4" s="1"/>
  <c r="P12" i="4" s="1"/>
  <c r="P13" i="4" s="1"/>
  <c r="C11" i="1"/>
  <c r="D11" i="1" s="1"/>
  <c r="E11" i="1" s="1"/>
  <c r="F11" i="1" s="1"/>
  <c r="G11" i="1" s="1"/>
  <c r="H11" i="1" s="1"/>
  <c r="I11" i="1" s="1"/>
  <c r="J11" i="1" s="1"/>
  <c r="K11" i="1" s="1"/>
  <c r="L11" i="1" s="1"/>
  <c r="M11" i="1" s="1"/>
  <c r="N11" i="1" s="1"/>
  <c r="O11" i="1" s="1"/>
  <c r="P11" i="1" s="1"/>
  <c r="Q11" i="1" s="1"/>
  <c r="R11" i="1" s="1"/>
  <c r="S11" i="1" s="1"/>
  <c r="T11" i="1" s="1"/>
  <c r="U11" i="1" s="1"/>
  <c r="V11" i="1" s="1"/>
  <c r="W11" i="1" s="1"/>
  <c r="X11" i="1" s="1"/>
  <c r="Y11" i="1" s="1"/>
  <c r="Z11" i="1" s="1"/>
  <c r="AA11" i="1" s="1"/>
  <c r="AB11" i="1" s="1"/>
  <c r="AC11" i="1" s="1"/>
  <c r="AD11" i="1" s="1"/>
  <c r="AE11" i="1" s="1"/>
  <c r="C16" i="1"/>
  <c r="D16" i="1" s="1"/>
  <c r="E16" i="1" s="1"/>
  <c r="F16" i="1" s="1"/>
  <c r="G16" i="1" s="1"/>
  <c r="H16" i="1" s="1"/>
  <c r="I16" i="1" s="1"/>
  <c r="J16" i="1" s="1"/>
  <c r="K16" i="1" s="1"/>
  <c r="L16" i="1" s="1"/>
  <c r="M16" i="1" s="1"/>
  <c r="N16" i="1" s="1"/>
  <c r="O16" i="1" s="1"/>
  <c r="P16" i="1" s="1"/>
  <c r="Q16" i="1" s="1"/>
  <c r="R16" i="1" s="1"/>
  <c r="S16" i="1" s="1"/>
  <c r="T16" i="1" s="1"/>
  <c r="U16" i="1" s="1"/>
  <c r="V16" i="1" s="1"/>
  <c r="W16" i="1" s="1"/>
  <c r="X16" i="1" s="1"/>
  <c r="Y16" i="1" s="1"/>
  <c r="Z16" i="1" s="1"/>
  <c r="AA16" i="1" s="1"/>
  <c r="AB16" i="1" s="1"/>
  <c r="AC16" i="1" s="1"/>
  <c r="AD16" i="1" s="1"/>
  <c r="AE16" i="1" s="1"/>
  <c r="C21" i="1"/>
  <c r="D21" i="1" s="1"/>
  <c r="E21" i="1" s="1"/>
  <c r="F21" i="1" s="1"/>
  <c r="G21" i="1" s="1"/>
  <c r="H21" i="1" s="1"/>
  <c r="I21" i="1" s="1"/>
  <c r="J21" i="1" s="1"/>
  <c r="K21" i="1" s="1"/>
  <c r="L21" i="1" s="1"/>
  <c r="M21" i="1" s="1"/>
  <c r="N21" i="1" s="1"/>
  <c r="O21" i="1" s="1"/>
  <c r="P21" i="1" s="1"/>
  <c r="Q21" i="1" s="1"/>
  <c r="R21" i="1" s="1"/>
  <c r="S21" i="1" s="1"/>
  <c r="T21" i="1" s="1"/>
  <c r="U21" i="1" s="1"/>
  <c r="V21" i="1" s="1"/>
  <c r="W21" i="1" s="1"/>
  <c r="X21" i="1" s="1"/>
  <c r="Y21" i="1" s="1"/>
  <c r="Z21" i="1" s="1"/>
  <c r="AA21" i="1" s="1"/>
  <c r="AB21" i="1" s="1"/>
  <c r="AC21" i="1" s="1"/>
  <c r="AD21" i="1" s="1"/>
  <c r="AE21" i="1" s="1"/>
  <c r="AA21" i="8"/>
  <c r="P6" i="4" l="1"/>
  <c r="W15" i="8"/>
  <c r="B31" i="1" l="1"/>
  <c r="B36" i="1" l="1"/>
  <c r="C31" i="1"/>
  <c r="D31" i="1" s="1"/>
  <c r="E31" i="1" s="1"/>
  <c r="F31" i="1" s="1"/>
  <c r="G31" i="1" s="1"/>
  <c r="H31" i="1" s="1"/>
  <c r="I31" i="1" s="1"/>
  <c r="J31" i="1" s="1"/>
  <c r="K31" i="1" s="1"/>
  <c r="L31" i="1" s="1"/>
  <c r="M31" i="1" s="1"/>
  <c r="N31" i="1" s="1"/>
  <c r="O31" i="1" s="1"/>
  <c r="P31" i="1" s="1"/>
  <c r="Q31" i="1" s="1"/>
  <c r="R31" i="1" s="1"/>
  <c r="S31" i="1" s="1"/>
  <c r="T31" i="1" s="1"/>
  <c r="U31" i="1" s="1"/>
  <c r="V31" i="1" s="1"/>
  <c r="W31" i="1" s="1"/>
  <c r="X31" i="1" s="1"/>
  <c r="Y31" i="1" s="1"/>
  <c r="Z31" i="1" s="1"/>
  <c r="AA31" i="1" s="1"/>
  <c r="AB31" i="1" s="1"/>
  <c r="AC31" i="1" s="1"/>
  <c r="AD31" i="1" s="1"/>
  <c r="AE31" i="1" s="1"/>
  <c r="B41" i="1" l="1"/>
  <c r="C36" i="1"/>
  <c r="D36" i="1" s="1"/>
  <c r="E36" i="1" s="1"/>
  <c r="F36" i="1" s="1"/>
  <c r="G36" i="1" s="1"/>
  <c r="H36" i="1" s="1"/>
  <c r="I36" i="1" s="1"/>
  <c r="J36" i="1" s="1"/>
  <c r="K36" i="1" s="1"/>
  <c r="L36" i="1" s="1"/>
  <c r="M36" i="1" s="1"/>
  <c r="N36" i="1" s="1"/>
  <c r="O36" i="1" s="1"/>
  <c r="P36" i="1" s="1"/>
  <c r="Q36" i="1" s="1"/>
  <c r="R36" i="1" s="1"/>
  <c r="S36" i="1" s="1"/>
  <c r="T36" i="1" s="1"/>
  <c r="U36" i="1" s="1"/>
  <c r="V36" i="1" s="1"/>
  <c r="W36" i="1" s="1"/>
  <c r="X36" i="1" s="1"/>
  <c r="Y36" i="1" s="1"/>
  <c r="Z36" i="1" s="1"/>
  <c r="AA36" i="1" s="1"/>
  <c r="AB36" i="1" s="1"/>
  <c r="AC36" i="1" s="1"/>
  <c r="AD36" i="1" s="1"/>
  <c r="AE36" i="1" s="1"/>
  <c r="B46" i="1" l="1"/>
  <c r="C41" i="1"/>
  <c r="D41" i="1" s="1"/>
  <c r="E41" i="1" s="1"/>
  <c r="F41" i="1" s="1"/>
  <c r="G41" i="1" s="1"/>
  <c r="H41" i="1" s="1"/>
  <c r="I41" i="1" s="1"/>
  <c r="J41" i="1" s="1"/>
  <c r="K41" i="1" s="1"/>
  <c r="L41" i="1" s="1"/>
  <c r="M41" i="1" s="1"/>
  <c r="N41" i="1" s="1"/>
  <c r="O41" i="1" s="1"/>
  <c r="P41" i="1" s="1"/>
  <c r="Q41" i="1" s="1"/>
  <c r="R41" i="1" s="1"/>
  <c r="S41" i="1" s="1"/>
  <c r="T41" i="1" s="1"/>
  <c r="U41" i="1" s="1"/>
  <c r="V41" i="1" s="1"/>
  <c r="W41" i="1" s="1"/>
  <c r="X41" i="1" s="1"/>
  <c r="Y41" i="1" s="1"/>
  <c r="Z41" i="1" s="1"/>
  <c r="AA41" i="1" s="1"/>
  <c r="AB41" i="1" s="1"/>
  <c r="AC41" i="1" s="1"/>
  <c r="AD41" i="1" s="1"/>
  <c r="AE41" i="1" s="1"/>
  <c r="B51" i="1" l="1"/>
  <c r="C46" i="1"/>
  <c r="D46" i="1" s="1"/>
  <c r="E46" i="1" s="1"/>
  <c r="F46" i="1" s="1"/>
  <c r="G46" i="1" s="1"/>
  <c r="H46" i="1" s="1"/>
  <c r="I46" i="1" s="1"/>
  <c r="J46" i="1" s="1"/>
  <c r="K46" i="1" s="1"/>
  <c r="L46" i="1" s="1"/>
  <c r="M46" i="1" s="1"/>
  <c r="N46" i="1" s="1"/>
  <c r="O46" i="1" s="1"/>
  <c r="P46" i="1" s="1"/>
  <c r="Q46" i="1" s="1"/>
  <c r="R46" i="1" s="1"/>
  <c r="S46" i="1" s="1"/>
  <c r="T46" i="1" s="1"/>
  <c r="U46" i="1" s="1"/>
  <c r="V46" i="1" s="1"/>
  <c r="W46" i="1" s="1"/>
  <c r="X46" i="1" s="1"/>
  <c r="Y46" i="1" s="1"/>
  <c r="Z46" i="1" s="1"/>
  <c r="AA46" i="1" s="1"/>
  <c r="AB46" i="1" s="1"/>
  <c r="AC46" i="1" s="1"/>
  <c r="AD46" i="1" s="1"/>
  <c r="AE46" i="1" s="1"/>
  <c r="B56" i="1" l="1"/>
  <c r="C51" i="1"/>
  <c r="D51" i="1" s="1"/>
  <c r="E51" i="1" s="1"/>
  <c r="F51" i="1" s="1"/>
  <c r="G51" i="1" s="1"/>
  <c r="H51" i="1" s="1"/>
  <c r="I51" i="1" s="1"/>
  <c r="J51" i="1" s="1"/>
  <c r="K51" i="1" s="1"/>
  <c r="L51" i="1" s="1"/>
  <c r="M51" i="1" s="1"/>
  <c r="N51" i="1" s="1"/>
  <c r="O51" i="1" s="1"/>
  <c r="P51" i="1" s="1"/>
  <c r="Q51" i="1" s="1"/>
  <c r="R51" i="1" s="1"/>
  <c r="S51" i="1" s="1"/>
  <c r="T51" i="1" s="1"/>
  <c r="U51" i="1" s="1"/>
  <c r="V51" i="1" s="1"/>
  <c r="W51" i="1" s="1"/>
  <c r="X51" i="1" s="1"/>
  <c r="Y51" i="1" s="1"/>
  <c r="Z51" i="1" s="1"/>
  <c r="AA51" i="1" s="1"/>
  <c r="AB51" i="1" s="1"/>
  <c r="AC51" i="1" s="1"/>
  <c r="AD51" i="1" s="1"/>
  <c r="AE51" i="1" s="1"/>
  <c r="B61" i="1" l="1"/>
  <c r="C61" i="1" s="1"/>
  <c r="D61" i="1" s="1"/>
  <c r="E61" i="1" s="1"/>
  <c r="F61" i="1" s="1"/>
  <c r="G61" i="1" s="1"/>
  <c r="H61" i="1" s="1"/>
  <c r="I61" i="1" s="1"/>
  <c r="J61" i="1" s="1"/>
  <c r="K61" i="1" s="1"/>
  <c r="L61" i="1" s="1"/>
  <c r="M61" i="1" s="1"/>
  <c r="N61" i="1" s="1"/>
  <c r="O61" i="1" s="1"/>
  <c r="P61" i="1" s="1"/>
  <c r="Q61" i="1" s="1"/>
  <c r="R61" i="1" s="1"/>
  <c r="S61" i="1" s="1"/>
  <c r="T61" i="1" s="1"/>
  <c r="U61" i="1" s="1"/>
  <c r="V61" i="1" s="1"/>
  <c r="W61" i="1" s="1"/>
  <c r="X61" i="1" s="1"/>
  <c r="Y61" i="1" s="1"/>
  <c r="Z61" i="1" s="1"/>
  <c r="AA61" i="1" s="1"/>
  <c r="AB61" i="1" s="1"/>
  <c r="AC61" i="1" s="1"/>
  <c r="AD61" i="1" s="1"/>
  <c r="AE61" i="1" s="1"/>
  <c r="C56" i="1"/>
  <c r="D56" i="1" s="1"/>
  <c r="E56" i="1" s="1"/>
  <c r="F56" i="1" s="1"/>
  <c r="G56" i="1" s="1"/>
  <c r="H56" i="1" s="1"/>
  <c r="I56" i="1" s="1"/>
  <c r="J56" i="1" s="1"/>
  <c r="K56" i="1" s="1"/>
  <c r="L56" i="1" s="1"/>
  <c r="M56" i="1" s="1"/>
  <c r="N56" i="1" s="1"/>
  <c r="O56" i="1" s="1"/>
  <c r="P56" i="1" s="1"/>
  <c r="Q56" i="1" s="1"/>
  <c r="R56" i="1" s="1"/>
  <c r="S56" i="1" s="1"/>
  <c r="T56" i="1" s="1"/>
  <c r="U56" i="1" s="1"/>
  <c r="V56" i="1" s="1"/>
  <c r="W56" i="1" s="1"/>
  <c r="X56" i="1" s="1"/>
  <c r="Y56" i="1" s="1"/>
  <c r="Z56" i="1" s="1"/>
  <c r="AA56" i="1" s="1"/>
  <c r="AB56" i="1" s="1"/>
  <c r="AC56" i="1" s="1"/>
  <c r="AD56" i="1" s="1"/>
  <c r="AE5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O11" authorId="0" shapeId="0" xr:uid="{F72EC21C-D335-F743-A33C-8694351E73D0}">
      <text>
        <r>
          <rPr>
            <b/>
            <sz val="10"/>
            <color rgb="FF000000"/>
            <rFont val="Tahoma"/>
            <family val="2"/>
          </rPr>
          <t>Cycles with at least 1 mood entry</t>
        </r>
      </text>
    </comment>
    <comment ref="O12" authorId="0" shapeId="0" xr:uid="{FF53D345-F067-9146-A850-961986D2C1AF}">
      <text>
        <r>
          <rPr>
            <b/>
            <sz val="10"/>
            <color rgb="FF000000"/>
            <rFont val="Tahoma"/>
            <family val="2"/>
          </rPr>
          <t>Cycles where Low mood appeared in Late Luteal and cleared in Follicular</t>
        </r>
      </text>
    </comment>
    <comment ref="A13" authorId="0" shapeId="0" xr:uid="{1D0FDE84-F3FC-5647-8082-56D138B21A56}">
      <text>
        <r>
          <rPr>
            <b/>
            <sz val="10"/>
            <color rgb="FF000000"/>
            <rFont val="Tahoma"/>
            <family val="2"/>
          </rPr>
          <t>YES if any Low mood was logged during the Late Luteal phase (the days just before your period) in this cycle</t>
        </r>
      </text>
    </comment>
    <comment ref="O13" authorId="0" shapeId="0" xr:uid="{053C262A-60CB-B44F-BC54-21B2C88A54F7}">
      <text>
        <r>
          <rPr>
            <b/>
            <sz val="10"/>
            <color rgb="FF000000"/>
            <rFont val="Tahoma"/>
            <family val="2"/>
          </rPr>
          <t>% of tracked cycles showing this pattern. The more cycles you track, the clearer the picture.</t>
        </r>
      </text>
    </comment>
    <comment ref="A14" authorId="0" shapeId="0" xr:uid="{D9C20469-0338-B54C-9FE9-1B35B5E76019}">
      <text>
        <r>
          <rPr>
            <b/>
            <sz val="10"/>
            <color rgb="FF000000"/>
            <rFont val="Tahoma"/>
            <family val="2"/>
          </rPr>
          <t>YES if NO Low mood was logged during the Follicular phase (just after your period) — i.e. mood lifted after your period started</t>
        </r>
      </text>
    </comment>
    <comment ref="A15" authorId="0" shapeId="0" xr:uid="{57EE8186-B828-AA4E-805F-811F7B1D7C6C}">
      <text>
        <r>
          <rPr>
            <b/>
            <sz val="10"/>
            <color rgb="FF000000"/>
            <rFont val="Tahoma"/>
            <family val="2"/>
          </rPr>
          <t>YES if Low mood appeared in Late Luteal AND cleared in Follicular in the same cycle — a pattern some people with PMDD notice, worth mentioning to your doctor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<sst xmlns="http://schemas.openxmlformats.org/spreadsheetml/2006/main" count="225" uniqueCount="156">
  <si>
    <t>CYCLE DAY</t>
  </si>
  <si>
    <t>Period</t>
  </si>
  <si>
    <t>Ovulation</t>
  </si>
  <si>
    <t>Cycle Start Date</t>
  </si>
  <si>
    <t>Cycle Length (days)</t>
  </si>
  <si>
    <t>Period Length (days)</t>
  </si>
  <si>
    <t>Late Follicular</t>
  </si>
  <si>
    <t>Mid Luteal</t>
  </si>
  <si>
    <t>Late Luteal</t>
  </si>
  <si>
    <t>Month</t>
  </si>
  <si>
    <t>Mood</t>
  </si>
  <si>
    <t>Jan</t>
  </si>
  <si>
    <t>Notes</t>
  </si>
  <si>
    <t>Good</t>
  </si>
  <si>
    <t>STAGE</t>
  </si>
  <si>
    <t>MONTH</t>
  </si>
  <si>
    <t>CYCLE SUMMARY</t>
  </si>
  <si>
    <t>Days Tracked</t>
  </si>
  <si>
    <t>Good Days</t>
  </si>
  <si>
    <t>Okay Days</t>
  </si>
  <si>
    <t>Low Days</t>
  </si>
  <si>
    <t>% Low in Late Luteal</t>
  </si>
  <si>
    <t>% Low in Follicular</t>
  </si>
  <si>
    <t>KEY METRICS</t>
  </si>
  <si>
    <t>Total Days Tracked</t>
  </si>
  <si>
    <t>Total Low Days</t>
  </si>
  <si>
    <t>Avg Low Days / Cycle</t>
  </si>
  <si>
    <t>Cycles with Data</t>
  </si>
  <si>
    <t>Most Common Low Phase</t>
  </si>
  <si>
    <t>Okay</t>
  </si>
  <si>
    <t>Edit the values above. The Tracker tab updates automatically.</t>
  </si>
  <si>
    <t>PHASE REFERENCE</t>
  </si>
  <si>
    <t>DAYS</t>
  </si>
  <si>
    <t>Low</t>
  </si>
  <si>
    <t>Go to the Setup tab and enter your cycle start date, average cycle length, and period length. The Tracker tab will automatically generate dates, phases, and month blocks. Then just start logging your mood each day using the dropdown in the Mood row — choose Good, Okay, or Low.</t>
  </si>
  <si>
    <t>Anything that helps you or your doctor understand the context: specific symptoms (anxiety, irritability, fatigue, bloating), life events that may have affected your mood, actual ovulation day if you track it separately, sleep quality, or medication changes. This is your personal annotation layer — there's no wrong answer.</t>
  </si>
  <si>
    <t>BEFORE YOUR APPOINTMENT</t>
  </si>
  <si>
    <t>1. Track at least 2 full cycles</t>
  </si>
  <si>
    <t>2. Print or save your Dashboard</t>
  </si>
  <si>
    <t>3. Write down your key symptoms</t>
  </si>
  <si>
    <t>WHAT TO SAY</t>
  </si>
  <si>
    <t>Opening the conversation</t>
  </si>
  <si>
    <t>Key phrases that help</t>
  </si>
  <si>
    <t>Showing your tracker</t>
  </si>
  <si>
    <t>WHAT TO EXPECT</t>
  </si>
  <si>
    <t>IF YOU FEEL DISMISSED</t>
  </si>
  <si>
    <t>HELPFUL RESOURCES</t>
  </si>
  <si>
    <t>• IAPMD (International Association for Premenstrual Disorders) — iapmd.org
• Mind (UK mental health charity) — mind.org.uk/information-support/types-of-mental-health-problems/premenstrual-dysphoric-disorder-pmdd
• ACOG Patient Resources — acog.org (search "premenstrual dysphoric disorder")
• r/PMDD (Reddit community) — reddit.com/r/PMDD
• Vicious Cycle (PMDD charity) — viciouscyclepmdd.com</t>
  </si>
  <si>
    <t xml:space="preserve">  How do I get started?</t>
  </si>
  <si>
    <t xml:space="preserve">  What if my ovulation day is different from what the tracker shows?</t>
  </si>
  <si>
    <t xml:space="preserve">  Is this a medical diagnosis?</t>
  </si>
  <si>
    <t xml:space="preserve">  How many cycles do I need to track?</t>
  </si>
  <si>
    <t xml:space="preserve">  What do the colours on the Tracker mean?</t>
  </si>
  <si>
    <t xml:space="preserve">  Can I change my cycle length after I've started tracking?</t>
  </si>
  <si>
    <t xml:space="preserve">  What should I write in the Notes row?</t>
  </si>
  <si>
    <t xml:space="preserve">  I already use Flo / Natural Cycles / Clue / Lively — why do I need this?</t>
  </si>
  <si>
    <t xml:space="preserve">  Can I use this alongside my existing cycle app?</t>
  </si>
  <si>
    <t xml:space="preserve">  I have months of mood data in my app already — can I use it here?</t>
  </si>
  <si>
    <t xml:space="preserve">  What makes this different from the mood tracking in Flo or Clue?</t>
  </si>
  <si>
    <t>There are two colour systems and they never overlap. The Stage row shows your cycle phases: coral for Period, buttercup yellow for Follicular, bubblegum pink for Ovulation, periwinkle for Mid Luteal, and lavender for Late Luteal. The Mood row uses a completely separate set: olive-lime for Good, peach for Okay, and dark navy for Low. You can always tell at a glance whether you're looking at a phase or a mood.</t>
  </si>
  <si>
    <t>Cycle Start</t>
  </si>
  <si>
    <t>Step 1: Set Up Your Cycle</t>
  </si>
  <si>
    <t>Go to the Setup tab and enter three things:
• Cycle Start Date — the first day of your most recent period
• Cycle Length — your average cycle length in days (default: 28)
• Period Length — how many days your period usually lasts (default: 5)
These settings control the dates and stage labels across the whole tracker.</t>
  </si>
  <si>
    <t>Step 2: Track Your Daily Mood</t>
  </si>
  <si>
    <t>On the Tracker tab, each month has a Mood row. Click any cell and choose from the dropdown:
• Good — you're feeling okay or positive
• Okay — manageable, but not great
• Low — difficult day, noticeable mood symptoms
You don't need to fill every day — even a few entries per cycle help the Dashboard spot patterns.</t>
  </si>
  <si>
    <t>Step 3: Add Notes (Optional)</t>
  </si>
  <si>
    <t>Each month also has a Notes row. Use it to jot down anything you want to remember:
• Symptoms (headaches, bloating, fatigue, cravings)
• Life events that may have affected your mood
• Medications or supplements you tried
These notes are valuable when you visit your doctor — they turn "I think I feel bad before my period" into specific evidence.</t>
  </si>
  <si>
    <t>Step 4: Adjust for Irregular Cycles</t>
  </si>
  <si>
    <t>Your cycles won't always be the same length — that's completely normal.
Each month on the Tracker has a Cycle Start date (the first cell on the Date row). By default, it auto-calculates from the previous month + your cycle length. But if your cycle was shorter or longer:
• Simply type the actual start date of your new cycle into that cell
• The rest of that month's dates will adjust automatically
• The next month will chain from your new date
Look for the purple note indicator ▾ on each start date cell for a reminder.</t>
  </si>
  <si>
    <t>Step 5: Check Your Dashboard</t>
  </si>
  <si>
    <t>Step 6: Understand the Colours</t>
  </si>
  <si>
    <t>The Tracker uses two separate colour systems so you can always tell what you're looking at:
Stage colours (cycle phases on the Stage row):
• Coral — Period
• Buttercup yellow — Follicular
• Bubblegum pink — Ovulation
• Periwinkle blue — Mid Luteal
• Lavender — Late Luteal
Mood colours (your daily entries):
• Olive-lime — Good
• Peach — Okay
• Navy — Low</t>
  </si>
  <si>
    <t>Step 7: Talk to Your Doctor</t>
  </si>
  <si>
    <t>Yes — you can adjust in two ways:
1. Global change: Update the Cycle Length on the Setup tab. This changes the phase windows and date spacing for all months at once.
2. Per-cycle adjustment: If one cycle was shorter or longer than usual, go to the Tracker and type the actual start date of your new cycle into the Cycle Start cell (the first date cell on each month's Date row). The dates will recalculate from your new start, and the next month will chain from it.
This means you don't need perfectly regular cycles to use the tracker — just adjust the start date whenever a new cycle begins.</t>
  </si>
  <si>
    <t>FOR YOUR DOCTOR</t>
  </si>
  <si>
    <t>PERIOD</t>
  </si>
  <si>
    <t>CYCLES</t>
  </si>
  <si>
    <t>DAYS LOGGED</t>
  </si>
  <si>
    <t>LOW DAYS</t>
  </si>
  <si>
    <t>DAILY MOOD, ALIGNED BY CYCLE DAY</t>
  </si>
  <si>
    <t>CYCLE 1</t>
  </si>
  <si>
    <t>CYCLE 2</t>
  </si>
  <si>
    <t>CYCLE 3</t>
  </si>
  <si>
    <t>GOOD</t>
  </si>
  <si>
    <t>OKAY</t>
  </si>
  <si>
    <t>LOW</t>
  </si>
  <si>
    <t>SHADED STRIP — PHASE: Period · Follicular · Ovulation · Mid Luteal · Late Luteal</t>
  </si>
  <si>
    <t>HOW TO OPEN THE CONVERSATION</t>
  </si>
  <si>
    <t>DISCUSS IN VISIT</t>
  </si>
  <si>
    <t>QUESTIONS WORTH ASKING</t>
  </si>
  <si>
    <t>5. Are there lifestyle changes that might help meanwhile?</t>
  </si>
  <si>
    <t>6. How many more cycles should I track before we revisit?</t>
  </si>
  <si>
    <t>LENGTH</t>
  </si>
  <si>
    <t>© 2025 dear PMDD™. All rights reserved.
Redistribution or resale prohibited without written permission.</t>
  </si>
  <si>
    <t>How to Use</t>
  </si>
  <si>
    <r>
      <rPr>
        <b/>
        <i/>
        <sz val="22"/>
        <color rgb="FFFFFAED"/>
        <rFont val="MinionPro-It"/>
      </rPr>
      <t>You've got this</t>
    </r>
    <r>
      <rPr>
        <b/>
        <sz val="22"/>
        <color rgb="FFFFFAED"/>
        <rFont val="Miller banner"/>
      </rPr>
      <t xml:space="preserve"> 💛</t>
    </r>
  </si>
  <si>
    <t xml:space="preserve">                                                    Dashboard</t>
  </si>
  <si>
    <t>Tracker</t>
  </si>
  <si>
    <t xml:space="preserve">                                                    FAQ</t>
  </si>
  <si>
    <t xml:space="preserve">                                          Your Doctor Visit</t>
  </si>
  <si>
    <t>PATTERNS ACROSS YOUR CYCLES</t>
  </si>
  <si>
    <t>Low mood in late luteal phase?</t>
  </si>
  <si>
    <t>Clear in follicular phase?</t>
  </si>
  <si>
    <t>Both seen this cycle?</t>
  </si>
  <si>
    <t>YOUR PATTERNS SO FAR</t>
  </si>
  <si>
    <t>Cycles Tracked</t>
  </si>
  <si>
    <t>Cycles Showing This Pattern</t>
  </si>
  <si>
    <t>How Often</t>
  </si>
  <si>
    <t>Suggested Next Step</t>
  </si>
  <si>
    <t>A NOTE ON THIS DASHBOARD</t>
  </si>
  <si>
    <t>Your dashboard helps you see your symptoms and patterns across your cycle. Use what you notice as a starting point for conversations with your healthcare professional. Dear PMDD is a symptom-tracking tool, not a diagnostic tool or a substitute for medical advice.</t>
  </si>
  <si>
    <t>The Dashboard tab updates automatically as you track. It shows:
• Cycle Summary — how many Good, Okay, and Low days per month
• Key Metrics — total days tracked, average low days per cycle, most common low phase
• Patterns Across Your Cycles — highlights whether Low mood tends to show up in the late luteal phase and ease off in the follicular phase
• Your Patterns So Far — a simple summary of how often that pattern has shown up in your tracked cycles
The more cycles you track, the clearer the picture becomes. Two to three cycles is usually enough to start seeing patterns.</t>
  </si>
  <si>
    <t>When you're ready to discuss your patterns with a healthcare professional, check the Your Doctor Visit tab. It has:
• What to bring to your appointment
• How to explain your symptoms clearly
• What to say if you feel dismissed
• Questions to ask
Remember: Dear PMDD is a symptom-tracking tool, not a diagnostic tool or a substitute for medical advice. It's designed to help you record what you're experiencing, spot patterns, and have more informed conversations with your healthcare professional.</t>
  </si>
  <si>
    <t xml:space="preserve">  What does the Dashboard show me about patterns?</t>
  </si>
  <si>
    <t>The Dashboard looks for a specific pattern across your tracked cycles: do your Low moods tend to appear in the Late Luteal phase (the last ~5 days before your period) and ease off during the Follicular phase (after your period ends)? This is a pattern many people with PMDD notice. The Dashboard summarises how often this pattern shows up across your tracked cycles — it's a starting point for reflection, not a result to self-diagnose from:
• No clear pattern yet — less than 25% of tracked cycles show it
• A pattern may be emerging — 25–49% of cycles show it
• A recurring pattern — 50% or more of cycles show it</t>
  </si>
  <si>
    <t>No. This tracker is a personal tool to help you spot patterns — it is not a medical diagnosis and cannot confirm or rule out PMDD. Only a healthcare professional can assess that, typically using daily symptom ratings tracked over at least 2 menstrual cycles. If you notice a recurring pattern here, we'd encourage speaking with your doctor. Bring this tracker to your appointment — it gives them a clear, concrete record to work from.</t>
  </si>
  <si>
    <t>We'd suggest at least 2 full cycles before looking for patterns on the Dashboard — the more cycles you track, the clearer the picture becomes. The tracker supports up to 12 cycles.</t>
  </si>
  <si>
    <t>The stage row (Period, Follicular, Ovulation, Mid Luteal, Late Luteal) is calculated from your average cycle length as a general guide. Real cycles vary — ovulation can shift by several days. If you know your actual ovulation day for a particular month, note it in the Notes row for that cycle (e.g. "Ovulated day 12"). The Dashboard doesn't depend on the stage labels being perfectly accurate — it uses the Late Luteal and Follicular windows from your typical cycle length as an approximation.</t>
  </si>
  <si>
    <t>Most cycle tracking apps focus on period prediction, fertility, and general symptom logging. They're great for knowing when your period is coming, but they weren't designed to help you spot mood patterns tied to your cycle. This tracker is purpose-built for one thing: helping you notice whether your low moods tend to cluster in the Late Luteal phase and ease off in the Follicular phase — a pattern worth discussing with a doctor if you suspect PMDD. Your existing app handles the "when" of your cycle; this tracker helps you explore the "how you feel" alongside it.</t>
  </si>
  <si>
    <t>Absolutely — they're complementary. Use your app (Flo, Natural Cycles, Clue, etc.) for period tracking, ovulation prediction, and general health logging as you normally would. Use this tracker specifically for daily mood logging and spotting cycle-related patterns. Your app can even help you fill this in more accurately — for example, if Natural Cycles or Clue tells you that you ovulated on day 13, note that in the Notes row so you have a more complete picture when you review your Dashboard.</t>
  </si>
  <si>
    <t>Yes. If your app lets you review past mood entries by date, you can backfill this tracker with that data. Go to the Setup tab, set your cycle start date to when you want to begin, then enter Good, Okay, or Low in the Mood row for each day based on your app's records. You don't need to be perfectly precise — the Dashboard looks for broad patterns (recurring low mood in late luteal, easing off in follicular), not individual day accuracy. Even rough backfilling from a few cycles gives the Dashboard enough to work with.</t>
  </si>
  <si>
    <t>Three things. First, simplicity — you log one word per day (Good, Okay, or Low) instead of choosing from dozens of symptoms and sliders. Second, cycle-focused pattern spotting — the Dashboard doesn't just show you a calendar of moods, it helps you see whether your pattern lines up with the late luteal timing many people with PMDD describe. Third, it's doctor-ready — you can bring the entire spreadsheet to your appointment with a clear visual summary that's easy to talk through. Most apps bury mood data inside screens that are hard to review together.</t>
  </si>
  <si>
    <t xml:space="preserve">  What if my cycles are irregular?</t>
  </si>
  <si>
    <t>That's fine — you don't need perfectly regular cycles to use this tracker. Use your best estimate for cycle length on the Setup tab, and adjust the Cycle Start cell on the Tracker whenever a new cycle actually begins (see "Can I change my cycle length after I've started tracking?" above). Note any irregularities in the Notes row so you have context when you look back.</t>
  </si>
  <si>
    <t xml:space="preserve">  What if I'm not sure my symptoms are cycle-related?</t>
  </si>
  <si>
    <t>That's exactly what this tracker is for. Log your mood daily for a few cycles without worrying about the cause — the Dashboard will help you see whether a pattern lines up with your cycle or not. If nothing lines up, that's useful information too. Either way, bring what you've noticed to your doctor and let them help you make sense of it alongside anything else that's going on.</t>
  </si>
  <si>
    <t>Daily ratings logged, 2+ cycles</t>
  </si>
  <si>
    <t>Mood eased in follicular phase</t>
  </si>
  <si>
    <t>SYMPTOM-TRACKING TOOL · NOT A MEDICAL DIAGNOSIS · SELF-REPORTED DATA</t>
  </si>
  <si>
    <t>DEAR PMDD · PAGE 1 OF 1</t>
  </si>
  <si>
    <t>Setup</t>
  </si>
  <si>
    <t>What You've Recorded</t>
  </si>
  <si>
    <t xml:space="preserve">                                                   • Symptom Pattern Report</t>
  </si>
  <si>
    <t>WHAT YOU'VE RECORDED</t>
  </si>
  <si>
    <t>If you've noticed a recurring pattern, the next step is a conversation with your healthcare professional. This can feel daunting — many people struggle to put what they're experiencing into words. This guide will help you prepare and communicate clearly.</t>
  </si>
  <si>
    <t>A record kept in real time is often easier to talk through than something recalled from memory. Even a couple of tracked cycles showing a pattern gives you something concrete to work with. Log your mood every day, even on good days — knowing when things ease off is just as useful as knowing when they don't.</t>
  </si>
  <si>
    <t>Before your appointment, print the Dashboard tab or save it as a PDF. This gives you a one-page summary of your cycle-by-cycle mood pattern and what you've noticed. A clear visual summary can be easier to talk through than describing months of symptoms from memory.</t>
  </si>
  <si>
    <t>Beyond mood, you might notice things like irritability, anxiety, feeling overwhelmed, fatigue, difficulty concentrating, sleep changes, or appetite changes. Note which ones you experience and roughly when in your cycle they appear. Your Notes row on the Tracker is a good place to review this before your appointment.</t>
  </si>
  <si>
    <t>You don't need medical language. Try something like:
“I've been tracking my mood against my menstrual cycle for the past few months because I noticed a pattern. I feel worse in the week before my period — [your symptoms] — and it eases once my period starts. I've been using a tracker and I'd like to show you what I found.”</t>
  </si>
  <si>
    <t>• "My symptoms seem to follow a cyclical pattern" — helps explain the timing
• "I've tracked this for [X] cycles" — shows you have a record, not just a hunch
• "My symptoms ease off after my period starts" — a pattern worth mentioning
• "This is affecting my relationships / work / daily life" — helps explain the impact
• "I'd like to understand what might be going on" — opens the conversation without self-diagnosing</t>
  </si>
  <si>
    <t>Use your tracker to help explain what you've noticed, when symptoms occur and how they affect your everyday life. On the Dashboard tab, you could point out:
• The Late Luteal row — which cycles had low mood in the days before your period
• The Follicular row — whether things eased after your period
• How Often — how many of your tracked cycles show this pattern
• What You've Recorded — a plain-language summary, not a diagnosis
You don't need to explain the formulas. The visual layout speaks for itself.</t>
  </si>
  <si>
    <t>Your healthcare professional may:</t>
  </si>
  <si>
    <t>• Ask about your symptoms, cycle and medical history
• Consider whether other conditions could explain what you're experiencing
• Suggest further tests or checks if helpful
• Talk through options that could help, if appropriate
• Suggest a referral if they think it would be useful
All of these are normal, positive steps — you don't need to have the answers yourself.</t>
  </si>
  <si>
    <t>If you feel your concerns aren't being heard, that can be discouraging. You're allowed to ask questions and seek clarity.</t>
  </si>
  <si>
    <t>• Ask for your concerns to be noted in your records
• Ask what the next steps might be, or whether a referral could help
• You're entitled to seek a second opinion if you'd find that helpful
• The IAPMD (International Association for Premenstrual Disorders) at iapmd.org has provider directories and support
• Keep tracking — a fuller record can help going forward</t>
  </si>
  <si>
    <t>QUESTIONS YOU MIGHT WANT TO ASK</t>
  </si>
  <si>
    <t>• What symptoms have I noticed?
• When do they tend to appear in my cycle?
• How do they affect my everyday life?
• What patterns have I noticed?
• What would I like to understand or discuss at this appointment?
• Is there anything else it would help to track or note?</t>
  </si>
  <si>
    <t>💛  Remember: You've recorded what you've experienced. Now you have something concrete to take into the conversation.</t>
  </si>
  <si>
    <t>Low mood recorded in late luteal phase</t>
  </si>
  <si>
    <t>Bring this to your appointment</t>
  </si>
  <si>
    <t>PHASES RECORDED</t>
  </si>
  <si>
    <t>"I've tracked my mood against my cycle for three months. Here's what I've recorded: I feel worse in the week before my period, and it eases once my period starts. I'd like to talk through what this could mean."</t>
  </si>
  <si>
    <t>1. What do you make of the pattern I've recorded?</t>
  </si>
  <si>
    <t>2. Are there other possible explanations I should consider?</t>
  </si>
  <si>
    <t>3. What would I like to discuss about these patterns?</t>
  </si>
  <si>
    <t>4. What questions do I have about what I'm experiencing?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</si>
</sst>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 yyyy"/>
    <numFmt numFmtId="165" formatCode="0.0"/>
    <numFmt numFmtId="166" formatCode="d\ mmm"/>
  </numFmts>
  <fonts count="57">
    <font>
      <sz val="10"/>
      <color indexed="8"/>
      <name val="Helvetica Neue"/>
    </font>
    <font>
      <sz val="10"/>
      <color indexed="8"/>
      <name val="Helvetica Neue"/>
      <family val="2"/>
    </font>
    <font>
      <b/>
      <sz val="10"/>
      <color rgb="FF3D3A36"/>
      <name val="Helvetica Neue"/>
      <family val="2"/>
    </font>
    <font>
      <sz val="9"/>
      <color rgb="FF6B6661"/>
      <name val="Helvetica Neue"/>
      <family val="2"/>
    </font>
    <font>
      <sz val="9"/>
      <color rgb="FF3D3A36"/>
      <name val="Helvetica Neue"/>
      <family val="2"/>
    </font>
    <font>
      <b/>
      <sz val="9"/>
      <color rgb="FF5C1A1F"/>
      <name val="Helvetica Neue"/>
      <family val="2"/>
    </font>
    <font>
      <b/>
      <sz val="9"/>
      <color rgb="FF3F2553"/>
      <name val="Helvetica Neue"/>
      <family val="2"/>
    </font>
    <font>
      <b/>
      <sz val="10"/>
      <color rgb="FFFFFFFF"/>
      <name val="Helvetica Neue"/>
      <family val="2"/>
    </font>
    <font>
      <sz val="10"/>
      <color rgb="FFFFFFFF"/>
      <name val="Helvetica Neue"/>
      <family val="2"/>
    </font>
    <font>
      <b/>
      <sz val="9"/>
      <color rgb="FFFFFFFF"/>
      <name val="Helvetica Neue"/>
      <family val="2"/>
    </font>
    <font>
      <b/>
      <sz val="14"/>
      <color rgb="FF3D3A36"/>
      <name val="Helvetica Neue"/>
      <family val="2"/>
    </font>
    <font>
      <b/>
      <sz val="8"/>
      <color rgb="FF3D3A36"/>
      <name val="Helvetica Neue"/>
      <family val="2"/>
    </font>
    <font>
      <sz val="9"/>
      <color rgb="FF3F2553"/>
      <name val="Helvetica Neue"/>
      <family val="2"/>
    </font>
    <font>
      <b/>
      <sz val="10"/>
      <color rgb="FF000000"/>
      <name val="Tahoma"/>
      <family val="2"/>
    </font>
    <font>
      <b/>
      <sz val="10"/>
      <color rgb="FFF5EFE6"/>
      <name val="Helvetica Neue"/>
      <family val="2"/>
    </font>
    <font>
      <b/>
      <sz val="9"/>
      <color rgb="FFA01A1A"/>
      <name val="Helvetica Neue"/>
      <family val="2"/>
    </font>
    <font>
      <sz val="9"/>
      <color rgb="FFA01A1A"/>
      <name val="Helvetica Neue"/>
      <family val="2"/>
    </font>
    <font>
      <b/>
      <sz val="20"/>
      <color rgb="FF2C2C34"/>
      <name val="Helvetica Neue"/>
      <family val="2"/>
    </font>
    <font>
      <b/>
      <sz val="12"/>
      <color rgb="FF2C2C34"/>
      <name val="Helvetica Neue"/>
      <family val="2"/>
    </font>
    <font>
      <i/>
      <sz val="9"/>
      <color rgb="FFFAAB94"/>
      <name val="Helvetica Neue"/>
      <family val="2"/>
    </font>
    <font>
      <b/>
      <sz val="9"/>
      <color rgb="FF2C2C34"/>
      <name val="Helvetica Neue"/>
      <family val="2"/>
    </font>
    <font>
      <b/>
      <sz val="10"/>
      <color rgb="FF2C2C34"/>
      <name val="Helvetica Neue"/>
      <family val="2"/>
    </font>
    <font>
      <sz val="10"/>
      <color rgb="FF2C2C34"/>
      <name val="Helvetica Neue"/>
      <family val="2"/>
    </font>
    <font>
      <b/>
      <sz val="18"/>
      <color rgb="FFFFFAED"/>
      <name val="Helvetica Neue"/>
      <family val="2"/>
    </font>
    <font>
      <b/>
      <sz val="8"/>
      <color rgb="FF2C2C34"/>
      <name val="Helvetica Neue"/>
      <family val="2"/>
    </font>
    <font>
      <b/>
      <sz val="11"/>
      <color rgb="FF2C2C34"/>
      <name val="Helvetica Neue"/>
      <family val="2"/>
    </font>
    <font>
      <sz val="9"/>
      <color rgb="FF2C2C34"/>
      <name val="Helvetica Neue"/>
      <family val="2"/>
    </font>
    <font>
      <i/>
      <sz val="8"/>
      <color rgb="FF2C2C34"/>
      <name val="Helvetica Neue"/>
      <family val="2"/>
    </font>
    <font>
      <b/>
      <sz val="10"/>
      <color rgb="FFFFFAED"/>
      <name val="Helvetica Neue"/>
      <family val="2"/>
    </font>
    <font>
      <b/>
      <sz val="9"/>
      <color rgb="FFFF7D59"/>
      <name val="Helvetica Neue"/>
      <family val="2"/>
    </font>
    <font>
      <b/>
      <sz val="9"/>
      <color rgb="FF99B0ED"/>
      <name val="Helvetica Neue"/>
      <family val="2"/>
    </font>
    <font>
      <b/>
      <sz val="20"/>
      <color rgb="FFFFFAED"/>
      <name val="Helvetica Neue"/>
      <family val="2"/>
    </font>
    <font>
      <b/>
      <sz val="12"/>
      <color rgb="FFFFFFFF"/>
      <name val="Helvetica Neue"/>
      <family val="2"/>
    </font>
    <font>
      <b/>
      <sz val="10"/>
      <color rgb="FFFF7D59"/>
      <name val="Helvetica Neue"/>
      <family val="2"/>
    </font>
    <font>
      <sz val="8"/>
      <color rgb="FF999999"/>
      <name val="Helvetica Neue"/>
      <family val="2"/>
    </font>
    <font>
      <b/>
      <sz val="12"/>
      <color rgb="FFFFFAED"/>
      <name val="Helvetica Neue"/>
      <family val="2"/>
    </font>
    <font>
      <sz val="9"/>
      <color rgb="FF8A8378"/>
      <name val="Helvetica Neue"/>
      <family val="2"/>
    </font>
    <font>
      <sz val="22"/>
      <color rgb="FF2C2C34"/>
      <name val="Helvetica Neue"/>
      <family val="2"/>
    </font>
    <font>
      <sz val="18"/>
      <color rgb="FF2C2C34"/>
      <name val="Helvetica Neue"/>
      <family val="2"/>
    </font>
    <font>
      <sz val="11"/>
      <color rgb="FF2C2C34"/>
      <name val="Helvetica Neue"/>
      <family val="2"/>
    </font>
    <font>
      <sz val="28"/>
      <color rgb="FF2C2C34"/>
      <name val="Helvetica Neue"/>
      <family val="2"/>
    </font>
    <font>
      <sz val="1"/>
      <color rgb="FFFFFFFF"/>
      <name val="Helvetica Neue"/>
      <family val="2"/>
    </font>
    <font>
      <sz val="9"/>
      <color rgb="FF5C5650"/>
      <name val="Helvetica Neue"/>
      <family val="2"/>
    </font>
    <font>
      <sz val="8"/>
      <color rgb="FF8A8378"/>
      <name val="Helvetica Neue"/>
      <family val="2"/>
    </font>
    <font>
      <sz val="11"/>
      <color rgb="FF7E9550"/>
      <name val="Helvetica Neue"/>
      <family val="2"/>
    </font>
    <font>
      <sz val="11"/>
      <color rgb="FF8A8378"/>
      <name val="Helvetica Neue"/>
      <family val="2"/>
    </font>
    <font>
      <i/>
      <sz val="14"/>
      <color rgb="FF2C2C34"/>
      <name val="Helvetica Neue"/>
      <family val="2"/>
    </font>
    <font>
      <sz val="14"/>
      <color rgb="FF2C2C34"/>
      <name val="Helvetica Neue"/>
      <family val="2"/>
    </font>
    <font>
      <b/>
      <sz val="11"/>
      <color rgb="FF0000FF"/>
      <name val="Helvetica Neue"/>
      <family val="2"/>
    </font>
    <font>
      <b/>
      <sz val="12"/>
      <color rgb="FF333F37"/>
      <name val="Helvetica Neue"/>
      <family val="2"/>
    </font>
    <font>
      <b/>
      <sz val="22"/>
      <color rgb="FFFFFAED"/>
      <name val="Helvetica Neue"/>
      <family val="2"/>
    </font>
    <font>
      <sz val="10"/>
      <color rgb="FFFFFAED"/>
      <name val="Helvetica Neue"/>
      <family val="2"/>
    </font>
    <font>
      <b/>
      <sz val="22"/>
      <color rgb="FFFFFAED"/>
      <name val="Miller banner"/>
    </font>
    <font>
      <b/>
      <i/>
      <sz val="22"/>
      <color rgb="FFFFFAED"/>
      <name val="MinionPro-It"/>
    </font>
    <font>
      <b/>
      <sz val="26"/>
      <color rgb="FFFFFAED"/>
      <name val="Helvetica Neue"/>
      <family val="2"/>
    </font>
    <font>
      <b/>
      <sz val="18"/>
      <color rgb="FFFFFAED"/>
      <name val="Helvetica Neue"/>
      <family val="2"/>
      <scheme val="major"/>
    </font>
    <font>
      <b/>
      <sz val="14"/>
      <color rgb="FFC00000"/>
      <name val="Helvetica Neue"/>
      <family val="2"/>
    </font>
  </fonts>
  <fills count="21">
    <fill>
      <patternFill patternType="none"/>
    </fill>
    <fill>
      <patternFill patternType="gray125"/>
    </fill>
    <fill>
      <patternFill patternType="solid">
        <fgColor rgb="FFFFFFFF"/>
        <bgColor indexed="64"/>
      </patternFill>
    </fill>
    <fill>
      <patternFill patternType="solid">
        <fgColor rgb="FFFAF6EF"/>
        <bgColor indexed="64"/>
      </patternFill>
    </fill>
    <fill>
      <patternFill patternType="solid">
        <fgColor rgb="FFF07070"/>
        <bgColor indexed="64"/>
      </patternFill>
    </fill>
    <fill>
      <patternFill patternType="solid">
        <fgColor rgb="FFFFFAED"/>
        <bgColor indexed="64"/>
      </patternFill>
    </fill>
    <fill>
      <patternFill patternType="solid">
        <fgColor rgb="FFFF7D59"/>
        <bgColor indexed="64"/>
      </patternFill>
    </fill>
    <fill>
      <patternFill patternType="solid">
        <fgColor rgb="FFD1D161"/>
        <bgColor indexed="64"/>
      </patternFill>
    </fill>
    <fill>
      <patternFill patternType="solid">
        <fgColor rgb="FFFFBDE8"/>
        <bgColor indexed="64"/>
      </patternFill>
    </fill>
    <fill>
      <patternFill patternType="solid">
        <fgColor rgb="FF99B0ED"/>
        <bgColor indexed="64"/>
      </patternFill>
    </fill>
    <fill>
      <patternFill patternType="solid">
        <fgColor rgb="FFCDDBF9"/>
        <bgColor indexed="64"/>
      </patternFill>
    </fill>
    <fill>
      <patternFill patternType="solid">
        <fgColor rgb="FF2C2C34"/>
        <bgColor indexed="64"/>
      </patternFill>
    </fill>
    <fill>
      <patternFill patternType="solid">
        <fgColor rgb="FFFFDE94"/>
        <bgColor indexed="64"/>
      </patternFill>
    </fill>
    <fill>
      <patternFill patternType="solid">
        <fgColor rgb="FFFFE5E0"/>
        <bgColor indexed="64"/>
      </patternFill>
    </fill>
    <fill>
      <patternFill patternType="solid">
        <fgColor rgb="FFFFEDEA"/>
        <bgColor indexed="64"/>
      </patternFill>
    </fill>
    <fill>
      <patternFill patternType="solid">
        <fgColor rgb="FFFAAB94"/>
        <bgColor indexed="64"/>
      </patternFill>
    </fill>
    <fill>
      <patternFill patternType="solid">
        <fgColor rgb="FF7E9550"/>
        <bgColor indexed="64"/>
      </patternFill>
    </fill>
    <fill>
      <patternFill patternType="solid">
        <fgColor rgb="FFD9A77A"/>
        <bgColor indexed="64"/>
      </patternFill>
    </fill>
    <fill>
      <patternFill patternType="solid">
        <fgColor rgb="FF1A1A1A"/>
        <bgColor indexed="64"/>
      </patternFill>
    </fill>
    <fill>
      <patternFill patternType="solid">
        <fgColor rgb="FF333F37"/>
        <bgColor indexed="64"/>
      </patternFill>
    </fill>
    <fill>
      <patternFill patternType="solid">
        <fgColor rgb="FF333F37"/>
        <bgColor rgb="FF000000"/>
      </patternFill>
    </fill>
  </fills>
  <borders count="30">
    <border>
      <left/>
      <right/>
      <top/>
      <bottom/>
      <diagonal/>
    </border>
    <border>
      <left/>
      <right/>
      <top/>
      <bottom style="thin">
        <color rgb="FFE8E2D8"/>
      </bottom>
      <diagonal/>
    </border>
    <border>
      <left/>
      <right/>
      <top style="thin">
        <color rgb="FFE8E2D8"/>
      </top>
      <bottom style="thin">
        <color rgb="FFE8E2D8"/>
      </bottom>
      <diagonal/>
    </border>
    <border>
      <left style="thin">
        <color rgb="FFE0D8CE"/>
      </left>
      <right/>
      <top/>
      <bottom/>
      <diagonal/>
    </border>
    <border>
      <left/>
      <right style="thin">
        <color rgb="FFE0D8CE"/>
      </right>
      <top/>
      <bottom/>
      <diagonal/>
    </border>
    <border>
      <left style="thin">
        <color rgb="FFE0D8CE"/>
      </left>
      <right/>
      <top/>
      <bottom style="thin">
        <color rgb="FFE0D8CE"/>
      </bottom>
      <diagonal/>
    </border>
    <border>
      <left/>
      <right style="thin">
        <color rgb="FFE0D8CE"/>
      </right>
      <top/>
      <bottom style="thin">
        <color rgb="FFE0D8CE"/>
      </bottom>
      <diagonal/>
    </border>
    <border>
      <left style="thin">
        <color rgb="FFE0D8CE"/>
      </left>
      <right/>
      <top style="thin">
        <color rgb="FFD9CFBF"/>
      </top>
      <bottom/>
      <diagonal/>
    </border>
    <border>
      <left/>
      <right style="thin">
        <color rgb="FFE0D8CE"/>
      </right>
      <top style="thin">
        <color rgb="FFD9CFBF"/>
      </top>
      <bottom/>
      <diagonal/>
    </border>
    <border>
      <left style="thin">
        <color rgb="FFE0D8CE"/>
      </left>
      <right/>
      <top style="thin">
        <color rgb="FFF0EBE3"/>
      </top>
      <bottom style="thin">
        <color rgb="FFF0EBE3"/>
      </bottom>
      <diagonal/>
    </border>
    <border>
      <left/>
      <right style="thin">
        <color rgb="FFE0D8CE"/>
      </right>
      <top style="thin">
        <color rgb="FFF0EBE3"/>
      </top>
      <bottom style="thin">
        <color rgb="FFF0EBE3"/>
      </bottom>
      <diagonal/>
    </border>
    <border>
      <left style="thin">
        <color rgb="FFE0D8CE"/>
      </left>
      <right/>
      <top style="thin">
        <color rgb="FFF0EBE3"/>
      </top>
      <bottom/>
      <diagonal/>
    </border>
    <border>
      <left/>
      <right style="thin">
        <color rgb="FFE0D8CE"/>
      </right>
      <top style="thin">
        <color rgb="FFF0EBE3"/>
      </top>
      <bottom/>
      <diagonal/>
    </border>
    <border>
      <left style="thin">
        <color rgb="FFE0D8CE"/>
      </left>
      <right/>
      <top style="medium">
        <color rgb="FF3D3A36"/>
      </top>
      <bottom/>
      <diagonal/>
    </border>
    <border>
      <left/>
      <right style="thin">
        <color rgb="FFE0D8CE"/>
      </right>
      <top style="medium">
        <color rgb="FF3D3A36"/>
      </top>
      <bottom/>
      <diagonal/>
    </border>
    <border>
      <left/>
      <right/>
      <top style="thin">
        <color rgb="FFFAAB94"/>
      </top>
      <bottom style="thin">
        <color rgb="FFFAAB94"/>
      </bottom>
      <diagonal/>
    </border>
    <border>
      <left/>
      <right/>
      <top style="thin">
        <color rgb="FFFAAB94"/>
      </top>
      <bottom/>
      <diagonal/>
    </border>
    <border>
      <left style="thin">
        <color rgb="FFFAAB94"/>
      </left>
      <right/>
      <top style="thin">
        <color rgb="FFFAAB94"/>
      </top>
      <bottom style="thin">
        <color rgb="FFFAAB94"/>
      </bottom>
      <diagonal/>
    </border>
    <border>
      <left/>
      <right style="thin">
        <color rgb="FFFAAB94"/>
      </right>
      <top style="thin">
        <color rgb="FFFAAB94"/>
      </top>
      <bottom style="thin">
        <color rgb="FFFAAB94"/>
      </bottom>
      <diagonal/>
    </border>
    <border>
      <left style="thin">
        <color rgb="FFFAAB94"/>
      </left>
      <right/>
      <top style="thin">
        <color rgb="FFFAAB94"/>
      </top>
      <bottom/>
      <diagonal/>
    </border>
    <border>
      <left/>
      <right style="thin">
        <color rgb="FFFAAB94"/>
      </right>
      <top style="thin">
        <color rgb="FFFAAB94"/>
      </top>
      <bottom/>
      <diagonal/>
    </border>
    <border>
      <left/>
      <right/>
      <top/>
      <bottom style="thin">
        <color rgb="FF2C2C34"/>
      </bottom>
      <diagonal/>
    </border>
    <border>
      <left/>
      <right/>
      <top style="thin">
        <color rgb="FFE0D8CE"/>
      </top>
      <bottom/>
      <diagonal/>
    </border>
    <border>
      <left/>
      <right/>
      <top/>
      <bottom style="thin">
        <color rgb="FFE0D8CE"/>
      </bottom>
      <diagonal/>
    </border>
    <border>
      <left style="thin">
        <color rgb="FFE0D8CE"/>
      </left>
      <right/>
      <top style="thin">
        <color rgb="FFE0D8CE"/>
      </top>
      <bottom/>
      <diagonal/>
    </border>
    <border>
      <left/>
      <right style="thin">
        <color rgb="FFE0D8CE"/>
      </right>
      <top style="thin">
        <color rgb="FFE0D8CE"/>
      </top>
      <bottom/>
      <diagonal/>
    </border>
    <border>
      <left style="thin">
        <color rgb="FFFFFFFF"/>
      </left>
      <right style="thin">
        <color rgb="FFFFFFFF"/>
      </right>
      <top style="thin">
        <color rgb="FFFFFFFF"/>
      </top>
      <bottom style="thin">
        <color rgb="FFFFFFFF"/>
      </bottom>
      <diagonal/>
    </border>
    <border>
      <left style="thin">
        <color rgb="FF7E9550"/>
      </left>
      <right style="thin">
        <color rgb="FF7E9550"/>
      </right>
      <top style="thin">
        <color rgb="FF7E9550"/>
      </top>
      <bottom style="thin">
        <color rgb="FF7E9550"/>
      </bottom>
      <diagonal/>
    </border>
    <border>
      <left style="thin">
        <color rgb="FF7E9550"/>
      </left>
      <right/>
      <top/>
      <bottom/>
      <diagonal/>
    </border>
    <border>
      <left style="thick">
        <color rgb="FFC84B30"/>
      </left>
      <right/>
      <top/>
      <bottom/>
      <diagonal/>
    </border>
  </borders>
  <cellStyleXfs count="1">
    <xf numFmtId="0" fontId="0" fillId="0" borderId="0" applyNumberFormat="0" applyFill="0" applyBorder="0" applyProtection="0">
      <alignment vertical="top" wrapText="1"/>
    </xf>
  </cellStyleXfs>
  <cellXfs count="192">
    <xf numFmtId="0" fontId="0" fillId="0" borderId="0" xfId="0">
      <alignment vertical="top" wrapText="1"/>
    </xf>
    <xf numFmtId="0" fontId="0" fillId="0" borderId="0" xfId="0" applyFill="1">
      <alignment vertical="top" wrapText="1"/>
    </xf>
    <xf numFmtId="0" fontId="0" fillId="5" borderId="0" xfId="0" applyFill="1">
      <alignment vertical="top" wrapText="1"/>
    </xf>
    <xf numFmtId="0" fontId="0" fillId="5" borderId="0" xfId="0" applyFill="1" applyProtection="1">
      <alignment vertical="top" wrapText="1"/>
    </xf>
    <xf numFmtId="0" fontId="17" fillId="5" borderId="0" xfId="0" applyFont="1" applyFill="1" applyProtection="1">
      <alignment vertical="top" wrapText="1"/>
    </xf>
    <xf numFmtId="0" fontId="19" fillId="5" borderId="0" xfId="0" applyFont="1" applyFill="1" applyAlignment="1" applyProtection="1">
      <alignment horizontal="left" vertical="top" wrapText="1"/>
    </xf>
    <xf numFmtId="0" fontId="20" fillId="5" borderId="16" xfId="0" applyFont="1" applyFill="1" applyBorder="1" applyAlignment="1" applyProtection="1">
      <alignment horizontal="left" vertical="top" wrapText="1"/>
    </xf>
    <xf numFmtId="0" fontId="7" fillId="6" borderId="16" xfId="0" applyFont="1" applyFill="1" applyBorder="1" applyProtection="1">
      <alignment vertical="top" wrapText="1"/>
    </xf>
    <xf numFmtId="0" fontId="8" fillId="6" borderId="15" xfId="0" applyFont="1" applyFill="1" applyBorder="1" applyProtection="1">
      <alignment vertical="top" wrapText="1"/>
    </xf>
    <xf numFmtId="0" fontId="0" fillId="5" borderId="15" xfId="0" applyFill="1" applyBorder="1" applyProtection="1">
      <alignment vertical="top" wrapText="1"/>
    </xf>
    <xf numFmtId="0" fontId="20" fillId="5" borderId="0" xfId="0" applyFont="1" applyFill="1" applyProtection="1">
      <alignment vertical="top" wrapText="1"/>
    </xf>
    <xf numFmtId="0" fontId="34" fillId="5" borderId="0" xfId="0" applyFont="1" applyFill="1" applyProtection="1">
      <alignment vertical="top" wrapText="1"/>
    </xf>
    <xf numFmtId="164" fontId="18" fillId="2" borderId="0" xfId="0" applyNumberFormat="1" applyFont="1" applyFill="1" applyBorder="1" applyAlignment="1" applyProtection="1">
      <alignment horizontal="center" vertical="top" wrapText="1"/>
      <protection locked="0"/>
    </xf>
    <xf numFmtId="1" fontId="18" fillId="2" borderId="0" xfId="0" applyNumberFormat="1" applyFont="1" applyFill="1" applyBorder="1" applyAlignment="1" applyProtection="1">
      <alignment horizontal="center" vertical="top" wrapText="1"/>
      <protection locked="0"/>
    </xf>
    <xf numFmtId="0" fontId="21" fillId="5" borderId="0" xfId="0" applyFont="1" applyFill="1" applyBorder="1" applyAlignment="1" applyProtection="1">
      <alignment horizontal="center" vertical="center"/>
    </xf>
    <xf numFmtId="0" fontId="24" fillId="5" borderId="0" xfId="0" applyFont="1" applyFill="1" applyBorder="1" applyAlignment="1" applyProtection="1">
      <alignment horizontal="center" vertical="center"/>
    </xf>
    <xf numFmtId="0" fontId="11" fillId="5" borderId="0" xfId="0" applyFont="1" applyFill="1" applyBorder="1" applyAlignment="1" applyProtection="1">
      <alignment horizontal="center" vertical="center"/>
    </xf>
    <xf numFmtId="0" fontId="1" fillId="5" borderId="0" xfId="0" applyFont="1" applyFill="1" applyBorder="1" applyAlignment="1" applyProtection="1">
      <alignment vertical="top"/>
    </xf>
    <xf numFmtId="0" fontId="0" fillId="5" borderId="0" xfId="0" applyFill="1" applyBorder="1" applyAlignment="1" applyProtection="1">
      <alignment vertical="top"/>
    </xf>
    <xf numFmtId="0" fontId="25" fillId="5" borderId="0" xfId="0" applyFont="1" applyFill="1" applyBorder="1" applyAlignment="1" applyProtection="1">
      <alignment horizontal="left" vertical="center"/>
    </xf>
    <xf numFmtId="166" fontId="26" fillId="5" borderId="0" xfId="0" applyNumberFormat="1" applyFont="1" applyFill="1" applyBorder="1" applyAlignment="1" applyProtection="1">
      <alignment horizontal="center" vertical="top"/>
    </xf>
    <xf numFmtId="0" fontId="20" fillId="5" borderId="0" xfId="0" applyFont="1" applyFill="1" applyBorder="1" applyAlignment="1" applyProtection="1">
      <alignment horizontal="left" vertical="center"/>
    </xf>
    <xf numFmtId="0" fontId="27" fillId="5" borderId="1" xfId="0" applyFont="1" applyFill="1" applyBorder="1" applyAlignment="1" applyProtection="1">
      <alignment horizontal="left" vertical="center"/>
    </xf>
    <xf numFmtId="0" fontId="25" fillId="5" borderId="0" xfId="0" applyFont="1" applyFill="1" applyBorder="1" applyAlignment="1" applyProtection="1">
      <alignment horizontal="center" vertical="top"/>
      <protection locked="0"/>
    </xf>
    <xf numFmtId="0" fontId="4" fillId="5" borderId="2" xfId="0" applyFont="1" applyFill="1" applyBorder="1" applyAlignment="1" applyProtection="1">
      <alignment horizontal="center" vertical="top"/>
      <protection locked="0"/>
    </xf>
    <xf numFmtId="0" fontId="4" fillId="5" borderId="0" xfId="0" applyFont="1" applyFill="1" applyBorder="1" applyAlignment="1" applyProtection="1">
      <alignment horizontal="center" vertical="top"/>
      <protection locked="0"/>
    </xf>
    <xf numFmtId="0" fontId="27" fillId="5" borderId="1" xfId="0" applyFont="1" applyFill="1" applyBorder="1" applyAlignment="1" applyProtection="1">
      <alignment horizontal="center" vertical="top"/>
      <protection locked="0"/>
    </xf>
    <xf numFmtId="0" fontId="20" fillId="13" borderId="19" xfId="0" applyFont="1" applyFill="1" applyBorder="1" applyAlignment="1" applyProtection="1">
      <alignment horizontal="left" vertical="top" wrapText="1"/>
    </xf>
    <xf numFmtId="0" fontId="20" fillId="13" borderId="16" xfId="0" applyFont="1" applyFill="1" applyBorder="1" applyAlignment="1" applyProtection="1">
      <alignment horizontal="center" vertical="top" wrapText="1"/>
    </xf>
    <xf numFmtId="0" fontId="20" fillId="13" borderId="20" xfId="0" applyFont="1" applyFill="1" applyBorder="1" applyAlignment="1" applyProtection="1">
      <alignment horizontal="center" vertical="top" wrapText="1"/>
    </xf>
    <xf numFmtId="0" fontId="26" fillId="2" borderId="19" xfId="0" applyFont="1" applyFill="1" applyBorder="1" applyAlignment="1" applyProtection="1">
      <alignment horizontal="left" vertical="top" wrapText="1"/>
    </xf>
    <xf numFmtId="0" fontId="26" fillId="2" borderId="16" xfId="0" applyFont="1" applyFill="1" applyBorder="1" applyAlignment="1" applyProtection="1">
      <alignment horizontal="center" vertical="top" wrapText="1"/>
    </xf>
    <xf numFmtId="0" fontId="26" fillId="2" borderId="20" xfId="0" applyFont="1" applyFill="1" applyBorder="1" applyAlignment="1" applyProtection="1">
      <alignment horizontal="center" vertical="top" wrapText="1"/>
    </xf>
    <xf numFmtId="0" fontId="20" fillId="7" borderId="19" xfId="0" applyFont="1" applyFill="1" applyBorder="1" applyAlignment="1" applyProtection="1">
      <alignment horizontal="left" vertical="top" wrapText="1"/>
    </xf>
    <xf numFmtId="0" fontId="20" fillId="15" borderId="19" xfId="0" applyFont="1" applyFill="1" applyBorder="1" applyAlignment="1" applyProtection="1">
      <alignment horizontal="left" vertical="top" wrapText="1"/>
    </xf>
    <xf numFmtId="0" fontId="9" fillId="11" borderId="19" xfId="0" applyFont="1" applyFill="1" applyBorder="1" applyAlignment="1" applyProtection="1">
      <alignment horizontal="left" vertical="top" wrapText="1"/>
    </xf>
    <xf numFmtId="0" fontId="29" fillId="2" borderId="16" xfId="0" applyFont="1" applyFill="1" applyBorder="1" applyAlignment="1" applyProtection="1">
      <alignment horizontal="center" vertical="top" wrapText="1"/>
    </xf>
    <xf numFmtId="0" fontId="29" fillId="2" borderId="20" xfId="0" applyFont="1" applyFill="1" applyBorder="1" applyAlignment="1" applyProtection="1">
      <alignment horizontal="center" vertical="top" wrapText="1"/>
    </xf>
    <xf numFmtId="0" fontId="30" fillId="2" borderId="19" xfId="0" applyFont="1" applyFill="1" applyBorder="1" applyAlignment="1" applyProtection="1">
      <alignment horizontal="left" vertical="top" wrapText="1"/>
    </xf>
    <xf numFmtId="9" fontId="30" fillId="2" borderId="16" xfId="0" applyNumberFormat="1" applyFont="1" applyFill="1" applyBorder="1" applyAlignment="1" applyProtection="1">
      <alignment horizontal="center" vertical="top" wrapText="1"/>
    </xf>
    <xf numFmtId="9" fontId="30" fillId="2" borderId="20" xfId="0" applyNumberFormat="1" applyFont="1" applyFill="1" applyBorder="1" applyAlignment="1" applyProtection="1">
      <alignment horizontal="center" vertical="top" wrapText="1"/>
    </xf>
    <xf numFmtId="0" fontId="26" fillId="2" borderId="17" xfId="0" applyFont="1" applyFill="1" applyBorder="1" applyAlignment="1" applyProtection="1">
      <alignment horizontal="left" vertical="top" wrapText="1"/>
    </xf>
    <xf numFmtId="9" fontId="26" fillId="2" borderId="15" xfId="0" applyNumberFormat="1" applyFont="1" applyFill="1" applyBorder="1" applyAlignment="1" applyProtection="1">
      <alignment horizontal="center" vertical="top" wrapText="1"/>
    </xf>
    <xf numFmtId="9" fontId="26" fillId="2" borderId="18" xfId="0" applyNumberFormat="1" applyFont="1" applyFill="1" applyBorder="1" applyAlignment="1" applyProtection="1">
      <alignment horizontal="center" vertical="top" wrapText="1"/>
    </xf>
    <xf numFmtId="0" fontId="26" fillId="2" borderId="19" xfId="0" applyFont="1" applyFill="1" applyBorder="1" applyProtection="1">
      <alignment vertical="top" wrapText="1"/>
    </xf>
    <xf numFmtId="0" fontId="20" fillId="2" borderId="17" xfId="0" applyFont="1" applyFill="1" applyBorder="1" applyProtection="1">
      <alignment vertical="top" wrapText="1"/>
    </xf>
    <xf numFmtId="0" fontId="26" fillId="2" borderId="15" xfId="0" applyFont="1" applyFill="1" applyBorder="1" applyAlignment="1" applyProtection="1">
      <alignment horizontal="center" vertical="top" wrapText="1"/>
    </xf>
    <xf numFmtId="0" fontId="26" fillId="2" borderId="18" xfId="0" applyFont="1" applyFill="1" applyBorder="1" applyAlignment="1" applyProtection="1">
      <alignment horizontal="center" vertical="top" wrapText="1"/>
    </xf>
    <xf numFmtId="0" fontId="9" fillId="6" borderId="19" xfId="0" applyFont="1" applyFill="1" applyBorder="1" applyProtection="1">
      <alignment vertical="top" wrapText="1"/>
    </xf>
    <xf numFmtId="0" fontId="9" fillId="6" borderId="16" xfId="0" applyFont="1" applyFill="1" applyBorder="1" applyProtection="1">
      <alignment vertical="top" wrapText="1"/>
    </xf>
    <xf numFmtId="0" fontId="9" fillId="6" borderId="20" xfId="0" applyFont="1" applyFill="1" applyBorder="1" applyProtection="1">
      <alignment vertical="top" wrapText="1"/>
    </xf>
    <xf numFmtId="0" fontId="0" fillId="5" borderId="0" xfId="0" applyFill="1" applyBorder="1" applyProtection="1">
      <alignment vertical="top" wrapText="1"/>
    </xf>
    <xf numFmtId="0" fontId="0" fillId="0" borderId="0" xfId="0" applyProtection="1">
      <alignment vertical="top" wrapText="1"/>
    </xf>
    <xf numFmtId="0" fontId="22" fillId="5" borderId="0" xfId="0" applyFont="1" applyFill="1" applyBorder="1" applyProtection="1">
      <alignment vertical="top" wrapText="1"/>
    </xf>
    <xf numFmtId="0" fontId="32" fillId="6" borderId="0" xfId="0" applyFont="1" applyFill="1" applyBorder="1" applyProtection="1">
      <alignment vertical="top" wrapText="1"/>
    </xf>
    <xf numFmtId="0" fontId="25" fillId="5" borderId="0" xfId="0" applyFont="1" applyFill="1" applyBorder="1" applyProtection="1">
      <alignment vertical="top" wrapText="1"/>
    </xf>
    <xf numFmtId="0" fontId="18" fillId="8" borderId="0" xfId="0" applyFont="1" applyFill="1" applyBorder="1" applyProtection="1">
      <alignment vertical="top" wrapText="1"/>
    </xf>
    <xf numFmtId="0" fontId="32" fillId="9" borderId="0" xfId="0" applyFont="1" applyFill="1" applyBorder="1" applyProtection="1">
      <alignment vertical="top" wrapText="1"/>
    </xf>
    <xf numFmtId="0" fontId="18" fillId="7" borderId="0" xfId="0" applyFont="1" applyFill="1" applyBorder="1" applyProtection="1">
      <alignment vertical="top" wrapText="1"/>
    </xf>
    <xf numFmtId="0" fontId="18" fillId="10" borderId="0" xfId="0" applyFont="1" applyFill="1" applyBorder="1" applyProtection="1">
      <alignment vertical="top" wrapText="1"/>
    </xf>
    <xf numFmtId="0" fontId="33" fillId="14" borderId="0" xfId="0" applyFont="1" applyFill="1" applyBorder="1" applyProtection="1">
      <alignment vertical="top" wrapText="1"/>
    </xf>
    <xf numFmtId="0" fontId="21" fillId="12" borderId="15" xfId="0" applyFont="1" applyFill="1" applyBorder="1" applyProtection="1">
      <alignment vertical="top" wrapText="1"/>
    </xf>
    <xf numFmtId="0" fontId="22" fillId="12" borderId="15" xfId="0" applyFont="1" applyFill="1" applyBorder="1" applyProtection="1">
      <alignment vertical="top" wrapText="1"/>
    </xf>
    <xf numFmtId="0" fontId="21" fillId="8" borderId="15" xfId="0" applyFont="1" applyFill="1" applyBorder="1" applyProtection="1">
      <alignment vertical="top" wrapText="1"/>
    </xf>
    <xf numFmtId="0" fontId="22" fillId="8" borderId="15" xfId="0" applyFont="1" applyFill="1" applyBorder="1" applyProtection="1">
      <alignment vertical="top" wrapText="1"/>
    </xf>
    <xf numFmtId="0" fontId="7" fillId="9" borderId="15" xfId="0" applyFont="1" applyFill="1" applyBorder="1" applyProtection="1">
      <alignment vertical="top" wrapText="1"/>
    </xf>
    <xf numFmtId="0" fontId="8" fillId="9" borderId="15" xfId="0" applyFont="1" applyFill="1" applyBorder="1" applyProtection="1">
      <alignment vertical="top" wrapText="1"/>
    </xf>
    <xf numFmtId="0" fontId="21" fillId="10" borderId="15" xfId="0" applyFont="1" applyFill="1" applyBorder="1" applyProtection="1">
      <alignment vertical="top" wrapText="1"/>
    </xf>
    <xf numFmtId="0" fontId="22" fillId="10" borderId="15" xfId="0" applyFont="1" applyFill="1" applyBorder="1" applyProtection="1">
      <alignment vertical="top" wrapText="1"/>
    </xf>
    <xf numFmtId="0" fontId="25" fillId="5" borderId="0" xfId="0" applyFont="1" applyFill="1" applyAlignment="1" applyProtection="1">
      <alignment horizontal="left" vertical="top" wrapText="1"/>
    </xf>
    <xf numFmtId="0" fontId="27" fillId="5" borderId="0" xfId="0" applyFont="1" applyFill="1" applyBorder="1" applyAlignment="1" applyProtection="1">
      <alignment horizontal="left" vertical="center"/>
    </xf>
    <xf numFmtId="0" fontId="0" fillId="3" borderId="0" xfId="0" applyFill="1" applyProtection="1">
      <alignment vertical="top" wrapText="1"/>
    </xf>
    <xf numFmtId="0" fontId="3" fillId="2" borderId="7" xfId="0" applyFont="1" applyFill="1" applyBorder="1" applyProtection="1">
      <alignment vertical="top" wrapText="1"/>
    </xf>
    <xf numFmtId="0" fontId="3" fillId="2" borderId="8" xfId="0" applyFont="1" applyFill="1" applyBorder="1" applyAlignment="1" applyProtection="1">
      <alignment horizontal="center" vertical="top" wrapText="1"/>
    </xf>
    <xf numFmtId="0" fontId="9" fillId="4" borderId="11" xfId="0" applyFont="1" applyFill="1" applyBorder="1" applyProtection="1">
      <alignment vertical="top" wrapText="1"/>
    </xf>
    <xf numFmtId="0" fontId="15" fillId="2" borderId="12" xfId="0" applyFont="1" applyFill="1" applyBorder="1" applyAlignment="1" applyProtection="1">
      <alignment horizontal="center" vertical="top" wrapText="1"/>
    </xf>
    <xf numFmtId="0" fontId="16" fillId="2" borderId="11" xfId="0" applyFont="1" applyFill="1" applyBorder="1" applyProtection="1">
      <alignment vertical="top" wrapText="1"/>
    </xf>
    <xf numFmtId="165" fontId="16" fillId="2" borderId="12" xfId="0" applyNumberFormat="1" applyFont="1" applyFill="1" applyBorder="1" applyAlignment="1" applyProtection="1">
      <alignment horizontal="center" vertical="top" wrapText="1"/>
    </xf>
    <xf numFmtId="0" fontId="3" fillId="2" borderId="9" xfId="0" applyFont="1" applyFill="1" applyBorder="1" applyProtection="1">
      <alignment vertical="top" wrapText="1"/>
    </xf>
    <xf numFmtId="0" fontId="3" fillId="2" borderId="10" xfId="0" applyFont="1" applyFill="1" applyBorder="1" applyAlignment="1" applyProtection="1">
      <alignment horizontal="center" vertical="top" wrapText="1"/>
    </xf>
    <xf numFmtId="0" fontId="6" fillId="2" borderId="5" xfId="0" applyFont="1" applyFill="1" applyBorder="1" applyProtection="1">
      <alignment vertical="top" wrapText="1"/>
    </xf>
    <xf numFmtId="0" fontId="6" fillId="2" borderId="6" xfId="0" applyFont="1" applyFill="1" applyBorder="1" applyAlignment="1" applyProtection="1">
      <alignment horizontal="center" vertical="top" wrapText="1"/>
    </xf>
    <xf numFmtId="0" fontId="5" fillId="2" borderId="9" xfId="0" applyFont="1" applyFill="1" applyBorder="1" applyProtection="1">
      <alignment vertical="top" wrapText="1"/>
    </xf>
    <xf numFmtId="0" fontId="5" fillId="2" borderId="10" xfId="0" applyFont="1" applyFill="1" applyBorder="1" applyAlignment="1" applyProtection="1">
      <alignment horizontal="center" vertical="top" wrapText="1"/>
    </xf>
    <xf numFmtId="0" fontId="12" fillId="2" borderId="3" xfId="0" applyFont="1" applyFill="1" applyBorder="1" applyProtection="1">
      <alignment vertical="top" wrapText="1"/>
    </xf>
    <xf numFmtId="9" fontId="12" fillId="2" borderId="4" xfId="0" applyNumberFormat="1" applyFont="1" applyFill="1" applyBorder="1" applyAlignment="1" applyProtection="1">
      <alignment horizontal="center" vertical="top" wrapText="1"/>
    </xf>
    <xf numFmtId="0" fontId="0" fillId="3" borderId="3" xfId="0" applyFill="1" applyBorder="1" applyProtection="1">
      <alignment vertical="top" wrapText="1"/>
    </xf>
    <xf numFmtId="0" fontId="0" fillId="3" borderId="4" xfId="0" applyFill="1" applyBorder="1" applyProtection="1">
      <alignment vertical="top" wrapText="1"/>
    </xf>
    <xf numFmtId="0" fontId="10" fillId="2" borderId="13" xfId="0" applyFont="1" applyFill="1" applyBorder="1" applyProtection="1">
      <alignment vertical="top" wrapText="1"/>
    </xf>
    <xf numFmtId="0" fontId="2" fillId="2" borderId="5" xfId="0" applyFont="1" applyFill="1" applyBorder="1" applyProtection="1">
      <alignment vertical="top" wrapText="1"/>
    </xf>
    <xf numFmtId="0" fontId="1" fillId="2" borderId="6" xfId="0" applyFont="1" applyFill="1" applyBorder="1" applyAlignment="1" applyProtection="1">
      <alignment horizontal="center" vertical="top" wrapText="1"/>
    </xf>
    <xf numFmtId="0" fontId="0" fillId="0" borderId="0" xfId="0" applyFill="1" applyProtection="1">
      <alignment vertical="top" wrapText="1"/>
    </xf>
    <xf numFmtId="166" fontId="26" fillId="5" borderId="0" xfId="0" applyNumberFormat="1" applyFont="1" applyFill="1" applyBorder="1" applyAlignment="1" applyProtection="1">
      <alignment horizontal="center" vertical="top"/>
      <protection locked="0"/>
    </xf>
    <xf numFmtId="0" fontId="22" fillId="5" borderId="0" xfId="0" applyFont="1" applyFill="1">
      <alignment vertical="top" wrapText="1"/>
    </xf>
    <xf numFmtId="0" fontId="36" fillId="5" borderId="0" xfId="0" applyFont="1" applyFill="1">
      <alignment vertical="top" wrapText="1"/>
    </xf>
    <xf numFmtId="0" fontId="36" fillId="5" borderId="0" xfId="0" applyFont="1" applyFill="1" applyAlignment="1">
      <alignment horizontal="left" vertical="top" wrapText="1"/>
    </xf>
    <xf numFmtId="0" fontId="22" fillId="5" borderId="0" xfId="0" applyFont="1" applyFill="1" applyAlignment="1">
      <alignment horizontal="right" vertical="top" wrapText="1"/>
    </xf>
    <xf numFmtId="0" fontId="22" fillId="5" borderId="21" xfId="0" applyFont="1" applyFill="1" applyBorder="1">
      <alignment vertical="top" wrapText="1"/>
    </xf>
    <xf numFmtId="0" fontId="22" fillId="2" borderId="0" xfId="0" applyFont="1" applyFill="1" applyBorder="1">
      <alignment vertical="top" wrapText="1"/>
    </xf>
    <xf numFmtId="0" fontId="22" fillId="2" borderId="22" xfId="0" applyFont="1" applyFill="1" applyBorder="1">
      <alignment vertical="top" wrapText="1"/>
    </xf>
    <xf numFmtId="0" fontId="22" fillId="2" borderId="23" xfId="0" applyFont="1" applyFill="1" applyBorder="1">
      <alignment vertical="top" wrapText="1"/>
    </xf>
    <xf numFmtId="0" fontId="22" fillId="2" borderId="3" xfId="0" applyFont="1" applyFill="1" applyBorder="1">
      <alignment vertical="top" wrapText="1"/>
    </xf>
    <xf numFmtId="0" fontId="22" fillId="2" borderId="5" xfId="0" applyFont="1" applyFill="1" applyBorder="1">
      <alignment vertical="top" wrapText="1"/>
    </xf>
    <xf numFmtId="0" fontId="22" fillId="2" borderId="4" xfId="0" applyFont="1" applyFill="1" applyBorder="1">
      <alignment vertical="top" wrapText="1"/>
    </xf>
    <xf numFmtId="0" fontId="22" fillId="2" borderId="6" xfId="0" applyFont="1" applyFill="1" applyBorder="1">
      <alignment vertical="top" wrapText="1"/>
    </xf>
    <xf numFmtId="0" fontId="22" fillId="2" borderId="24" xfId="0" applyFont="1" applyFill="1" applyBorder="1">
      <alignment vertical="top" wrapText="1"/>
    </xf>
    <xf numFmtId="0" fontId="41" fillId="2" borderId="26" xfId="0" applyFont="1" applyFill="1" applyBorder="1" applyAlignment="1">
      <alignment horizontal="center" vertical="center" wrapText="1"/>
    </xf>
    <xf numFmtId="0" fontId="41" fillId="2" borderId="26" xfId="0" applyFont="1" applyFill="1" applyBorder="1">
      <alignment vertical="top" wrapText="1"/>
    </xf>
    <xf numFmtId="0" fontId="22" fillId="16" borderId="27" xfId="0" applyFont="1" applyFill="1" applyBorder="1">
      <alignment vertical="top" wrapText="1"/>
    </xf>
    <xf numFmtId="0" fontId="22" fillId="17" borderId="0" xfId="0" applyFont="1" applyFill="1" applyBorder="1">
      <alignment vertical="top" wrapText="1"/>
    </xf>
    <xf numFmtId="0" fontId="22" fillId="18" borderId="0" xfId="0" applyFont="1" applyFill="1" applyBorder="1">
      <alignment vertical="top" wrapText="1"/>
    </xf>
    <xf numFmtId="0" fontId="22" fillId="5" borderId="22" xfId="0" applyFont="1" applyFill="1" applyBorder="1">
      <alignment vertical="top" wrapText="1"/>
    </xf>
    <xf numFmtId="0" fontId="36" fillId="5" borderId="0" xfId="0" applyFont="1" applyFill="1" applyAlignment="1">
      <alignment horizontal="center" vertical="top" wrapText="1"/>
    </xf>
    <xf numFmtId="0" fontId="36" fillId="5" borderId="0" xfId="0" applyFont="1" applyFill="1" applyAlignment="1" applyProtection="1">
      <alignment horizontal="center" vertical="top" wrapText="1"/>
    </xf>
    <xf numFmtId="0" fontId="48" fillId="5" borderId="0" xfId="0" applyFont="1" applyFill="1" applyAlignment="1" applyProtection="1">
      <alignment horizontal="center" vertical="top" wrapText="1"/>
      <protection locked="0"/>
    </xf>
    <xf numFmtId="0" fontId="24" fillId="10" borderId="0" xfId="0" applyFont="1" applyFill="1" applyBorder="1" applyAlignment="1" applyProtection="1">
      <alignment horizontal="center" vertical="center"/>
    </xf>
    <xf numFmtId="0" fontId="27" fillId="5" borderId="0" xfId="0" applyFont="1" applyFill="1" applyBorder="1" applyAlignment="1" applyProtection="1">
      <alignment horizontal="center" vertical="top"/>
      <protection locked="0"/>
    </xf>
    <xf numFmtId="0" fontId="0" fillId="19" borderId="0" xfId="0" applyFill="1">
      <alignment vertical="top" wrapText="1"/>
    </xf>
    <xf numFmtId="0" fontId="22" fillId="19" borderId="0" xfId="0" applyFont="1" applyFill="1" applyProtection="1">
      <alignment vertical="top" wrapText="1"/>
    </xf>
    <xf numFmtId="0" fontId="23" fillId="19" borderId="0" xfId="0" applyFont="1" applyFill="1" applyProtection="1">
      <alignment vertical="top" wrapText="1"/>
    </xf>
    <xf numFmtId="0" fontId="22" fillId="0" borderId="0" xfId="0" applyFont="1" applyFill="1" applyProtection="1">
      <alignment vertical="top" wrapText="1"/>
    </xf>
    <xf numFmtId="0" fontId="18" fillId="7" borderId="0" xfId="0" applyFont="1" applyFill="1" applyAlignment="1" applyProtection="1">
      <alignment horizontal="left" vertical="center" wrapText="1" indent="1"/>
    </xf>
    <xf numFmtId="0" fontId="49" fillId="15" borderId="0" xfId="0" applyFont="1" applyFill="1" applyAlignment="1" applyProtection="1">
      <alignment horizontal="left" vertical="center" wrapText="1" indent="1"/>
    </xf>
    <xf numFmtId="0" fontId="35" fillId="6" borderId="0" xfId="0" applyFont="1" applyFill="1" applyAlignment="1" applyProtection="1">
      <alignment horizontal="left" vertical="center" wrapText="1" indent="1"/>
    </xf>
    <xf numFmtId="0" fontId="18" fillId="12" borderId="0" xfId="0" applyFont="1" applyFill="1" applyAlignment="1" applyProtection="1">
      <alignment horizontal="left" vertical="center" wrapText="1" indent="1"/>
    </xf>
    <xf numFmtId="0" fontId="49" fillId="10" borderId="0" xfId="0" applyFont="1" applyFill="1" applyAlignment="1" applyProtection="1">
      <alignment horizontal="left" vertical="center" wrapText="1" indent="1"/>
    </xf>
    <xf numFmtId="0" fontId="18" fillId="8" borderId="0" xfId="0" applyFont="1" applyFill="1" applyAlignment="1" applyProtection="1">
      <alignment horizontal="left" vertical="center" wrapText="1" indent="1"/>
    </xf>
    <xf numFmtId="0" fontId="49" fillId="9" borderId="0" xfId="0" applyFont="1" applyFill="1" applyAlignment="1" applyProtection="1">
      <alignment horizontal="left" vertical="center" wrapText="1" indent="1"/>
    </xf>
    <xf numFmtId="0" fontId="50" fillId="19" borderId="0" xfId="0" applyFont="1" applyFill="1" applyProtection="1">
      <alignment vertical="top" wrapText="1"/>
    </xf>
    <xf numFmtId="0" fontId="51" fillId="19" borderId="0" xfId="0" applyFont="1" applyFill="1" applyAlignment="1" applyProtection="1">
      <alignment vertical="top" wrapText="1" indent="1"/>
    </xf>
    <xf numFmtId="0" fontId="51" fillId="19" borderId="0" xfId="0" applyFont="1" applyFill="1" applyProtection="1">
      <alignment vertical="top" wrapText="1"/>
    </xf>
    <xf numFmtId="0" fontId="52" fillId="19" borderId="0" xfId="0" applyFont="1" applyFill="1" applyAlignment="1" applyProtection="1">
      <alignment horizontal="center" vertical="top" wrapText="1"/>
    </xf>
    <xf numFmtId="0" fontId="23" fillId="19" borderId="0" xfId="0" applyFont="1" applyFill="1" applyBorder="1" applyAlignment="1" applyProtection="1">
      <alignment horizontal="left" vertical="center"/>
    </xf>
    <xf numFmtId="0" fontId="23" fillId="20" borderId="0" xfId="0" applyFont="1" applyFill="1">
      <alignment vertical="top" wrapText="1"/>
    </xf>
    <xf numFmtId="0" fontId="54" fillId="19" borderId="0" xfId="0" applyFont="1" applyFill="1" applyBorder="1" applyAlignment="1" applyProtection="1">
      <alignment horizontal="left" vertical="center"/>
    </xf>
    <xf numFmtId="0" fontId="55" fillId="19" borderId="0" xfId="0" applyFont="1" applyFill="1" applyBorder="1" applyAlignment="1" applyProtection="1">
      <alignment horizontal="left" vertical="center"/>
    </xf>
    <xf numFmtId="0" fontId="0" fillId="19" borderId="0" xfId="0" applyFill="1" applyProtection="1">
      <alignment vertical="top" wrapText="1"/>
    </xf>
    <xf numFmtId="0" fontId="28" fillId="19" borderId="16" xfId="0" applyFont="1" applyFill="1" applyBorder="1" applyProtection="1">
      <alignment vertical="top" wrapText="1"/>
    </xf>
    <xf numFmtId="0" fontId="28" fillId="19" borderId="20" xfId="0" applyFont="1" applyFill="1" applyBorder="1" applyProtection="1">
      <alignment vertical="top" wrapText="1"/>
    </xf>
    <xf numFmtId="0" fontId="14" fillId="19" borderId="3" xfId="0" applyFont="1" applyFill="1" applyBorder="1" applyProtection="1">
      <alignment vertical="top" wrapText="1"/>
    </xf>
    <xf numFmtId="0" fontId="14" fillId="19" borderId="4" xfId="0" applyFont="1" applyFill="1" applyBorder="1" applyProtection="1">
      <alignment vertical="top" wrapText="1"/>
    </xf>
    <xf numFmtId="0" fontId="14" fillId="19" borderId="3" xfId="0" applyFont="1" applyFill="1" applyBorder="1" applyAlignment="1" applyProtection="1">
      <alignment vertical="center" wrapText="1"/>
    </xf>
    <xf numFmtId="0" fontId="14" fillId="19" borderId="4" xfId="0" applyFont="1" applyFill="1" applyBorder="1" applyAlignment="1" applyProtection="1">
      <alignment vertical="center" wrapText="1"/>
    </xf>
    <xf numFmtId="0" fontId="28" fillId="19" borderId="19" xfId="0" applyFont="1" applyFill="1" applyBorder="1" applyAlignment="1" applyProtection="1">
      <alignment vertical="center" wrapText="1"/>
    </xf>
    <xf numFmtId="0" fontId="0" fillId="19" borderId="0" xfId="0" applyFill="1" applyBorder="1" applyProtection="1">
      <alignment vertical="top" wrapText="1"/>
    </xf>
    <xf numFmtId="0" fontId="49" fillId="9" borderId="0" xfId="0" applyFont="1" applyFill="1" applyBorder="1" applyAlignment="1" applyProtection="1">
      <alignment vertical="center" wrapText="1"/>
    </xf>
    <xf numFmtId="0" fontId="18" fillId="8" borderId="0" xfId="0" applyFont="1" applyFill="1" applyBorder="1" applyAlignment="1" applyProtection="1">
      <alignment vertical="center" wrapText="1"/>
    </xf>
    <xf numFmtId="0" fontId="49" fillId="10" borderId="0" xfId="0" applyFont="1" applyFill="1" applyBorder="1" applyAlignment="1" applyProtection="1">
      <alignment vertical="center" wrapText="1"/>
    </xf>
    <xf numFmtId="0" fontId="18" fillId="12" borderId="0" xfId="0" applyFont="1" applyFill="1" applyBorder="1" applyAlignment="1" applyProtection="1">
      <alignment vertical="center" wrapText="1"/>
    </xf>
    <xf numFmtId="0" fontId="35" fillId="6" borderId="0" xfId="0" applyFont="1" applyFill="1" applyBorder="1" applyAlignment="1" applyProtection="1">
      <alignment vertical="center" wrapText="1"/>
    </xf>
    <xf numFmtId="0" fontId="18" fillId="7" borderId="0" xfId="0" applyFont="1" applyFill="1" applyBorder="1" applyAlignment="1" applyProtection="1">
      <alignment vertical="center" wrapText="1"/>
    </xf>
    <xf numFmtId="0" fontId="49" fillId="15" borderId="0" xfId="0" applyFont="1" applyFill="1" applyBorder="1" applyAlignment="1" applyProtection="1">
      <alignment vertical="center" wrapText="1"/>
    </xf>
    <xf numFmtId="0" fontId="51" fillId="19" borderId="0" xfId="0" applyFont="1" applyFill="1" applyBorder="1" applyAlignment="1" applyProtection="1">
      <alignment vertical="top" wrapText="1" indent="1"/>
    </xf>
    <xf numFmtId="0" fontId="23" fillId="19" borderId="0" xfId="0" applyFont="1" applyFill="1" applyBorder="1" applyAlignment="1" applyProtection="1">
      <alignment vertical="center" wrapText="1"/>
    </xf>
    <xf numFmtId="0" fontId="31" fillId="19" borderId="0" xfId="0" applyFont="1" applyFill="1" applyBorder="1" applyAlignment="1" applyProtection="1">
      <alignment vertical="center" wrapText="1"/>
    </xf>
    <xf numFmtId="0" fontId="56" fillId="2" borderId="14" xfId="0" applyFont="1" applyFill="1" applyBorder="1" applyAlignment="1" applyProtection="1">
      <alignment horizontal="center" vertical="top" wrapText="1"/>
    </xf>
    <xf numFmtId="0" fontId="26" fillId="14" borderId="17" xfId="0" applyFont="1" applyFill="1" applyBorder="1" applyProtection="1">
      <alignment vertical="top" wrapText="1"/>
    </xf>
    <xf numFmtId="0" fontId="26" fillId="14" borderId="15" xfId="0" applyFont="1" applyFill="1" applyBorder="1" applyProtection="1">
      <alignment vertical="top" wrapText="1"/>
    </xf>
    <xf numFmtId="0" fontId="26" fillId="14" borderId="18" xfId="0" applyFont="1" applyFill="1" applyBorder="1" applyProtection="1">
      <alignment vertical="top" wrapText="1"/>
    </xf>
    <xf numFmtId="0" fontId="23" fillId="19" borderId="0" xfId="0" applyFont="1" applyFill="1" applyAlignment="1" applyProtection="1">
      <alignment vertical="center" wrapText="1"/>
    </xf>
    <xf numFmtId="0" fontId="36" fillId="2" borderId="3" xfId="0" applyFont="1" applyFill="1" applyBorder="1" applyAlignment="1">
      <alignment vertical="center" wrapText="1"/>
    </xf>
    <xf numFmtId="0" fontId="36" fillId="2" borderId="0" xfId="0" applyFont="1" applyFill="1" applyBorder="1" applyAlignment="1">
      <alignment vertical="center" wrapText="1"/>
    </xf>
    <xf numFmtId="0" fontId="36" fillId="2" borderId="24" xfId="0" applyFont="1" applyFill="1" applyBorder="1" applyAlignment="1">
      <alignment horizontal="left" vertical="center" wrapText="1"/>
    </xf>
    <xf numFmtId="0" fontId="36" fillId="2" borderId="22" xfId="0" applyFont="1" applyFill="1" applyBorder="1" applyAlignment="1">
      <alignment horizontal="left" vertical="center" wrapText="1"/>
    </xf>
    <xf numFmtId="0" fontId="36" fillId="2" borderId="25" xfId="0" applyFont="1" applyFill="1" applyBorder="1" applyAlignment="1">
      <alignment horizontal="left" vertical="center" wrapText="1"/>
    </xf>
    <xf numFmtId="0" fontId="37" fillId="5" borderId="0" xfId="0" applyFont="1" applyFill="1" applyAlignment="1">
      <alignment horizontal="left" vertical="center" wrapText="1"/>
    </xf>
    <xf numFmtId="0" fontId="38" fillId="5" borderId="0" xfId="0" applyFont="1" applyFill="1" applyAlignment="1">
      <alignment horizontal="left" vertical="top" wrapText="1"/>
    </xf>
    <xf numFmtId="0" fontId="39" fillId="5" borderId="0" xfId="0" applyFont="1" applyFill="1" applyAlignment="1">
      <alignment horizontal="left" vertical="top" wrapText="1"/>
    </xf>
    <xf numFmtId="0" fontId="42" fillId="2" borderId="28" xfId="0" applyFont="1" applyFill="1" applyBorder="1" applyAlignment="1">
      <alignment horizontal="left" vertical="center" wrapText="1"/>
    </xf>
    <xf numFmtId="0" fontId="0" fillId="0" borderId="0" xfId="0" applyBorder="1">
      <alignment vertical="top" wrapText="1"/>
    </xf>
    <xf numFmtId="0" fontId="42" fillId="2" borderId="0" xfId="0" applyFont="1" applyFill="1" applyBorder="1" applyAlignment="1">
      <alignment horizontal="left" vertical="center" wrapText="1"/>
    </xf>
    <xf numFmtId="0" fontId="22" fillId="2" borderId="0" xfId="0" applyFont="1" applyFill="1" applyBorder="1">
      <alignment vertical="top" wrapText="1"/>
    </xf>
    <xf numFmtId="0" fontId="46" fillId="5" borderId="29" xfId="0" applyFont="1" applyFill="1" applyBorder="1" applyAlignment="1">
      <alignment horizontal="left" vertical="center" wrapText="1" indent="1"/>
    </xf>
    <xf numFmtId="0" fontId="47" fillId="5" borderId="0" xfId="0" applyFont="1" applyFill="1" applyAlignment="1">
      <alignment horizontal="left" vertical="center" wrapText="1" indent="1"/>
    </xf>
    <xf numFmtId="0" fontId="47" fillId="5" borderId="29" xfId="0" applyFont="1" applyFill="1" applyBorder="1" applyAlignment="1">
      <alignment horizontal="left" vertical="center" wrapText="1" indent="1"/>
    </xf>
    <xf numFmtId="0" fontId="39" fillId="5" borderId="0" xfId="0" applyFont="1" applyFill="1">
      <alignment vertical="top" wrapText="1"/>
    </xf>
    <xf numFmtId="0" fontId="22" fillId="5" borderId="0" xfId="0" applyFont="1" applyFill="1">
      <alignment vertical="top" wrapText="1"/>
    </xf>
    <xf numFmtId="0" fontId="36" fillId="5" borderId="0" xfId="0" applyFont="1" applyFill="1" applyAlignment="1">
      <alignment horizontal="left" vertical="top" wrapText="1"/>
    </xf>
    <xf numFmtId="0" fontId="45" fillId="5" borderId="0" xfId="0" applyFont="1" applyFill="1" applyAlignment="1">
      <alignment horizontal="center" vertical="top" wrapText="1"/>
    </xf>
    <xf numFmtId="0" fontId="44" fillId="5" borderId="23" xfId="0" applyFont="1" applyFill="1" applyBorder="1" applyAlignment="1">
      <alignment horizontal="center" vertical="top" wrapText="1"/>
    </xf>
    <xf numFmtId="0" fontId="43" fillId="5" borderId="22" xfId="0" applyFont="1" applyFill="1" applyBorder="1" applyAlignment="1">
      <alignment horizontal="left" vertical="top" wrapText="1"/>
    </xf>
    <xf numFmtId="0" fontId="36" fillId="5" borderId="0" xfId="0" applyFont="1" applyFill="1">
      <alignment vertical="top" wrapText="1"/>
    </xf>
    <xf numFmtId="0" fontId="43" fillId="2" borderId="0" xfId="0" applyFont="1" applyFill="1" applyBorder="1" applyAlignment="1">
      <alignment horizontal="center" vertical="center" wrapText="1"/>
    </xf>
    <xf numFmtId="0" fontId="43" fillId="2" borderId="4" xfId="0" applyFont="1" applyFill="1" applyBorder="1" applyAlignment="1">
      <alignment horizontal="center" vertical="center" wrapText="1"/>
    </xf>
    <xf numFmtId="0" fontId="43" fillId="5" borderId="22" xfId="0" applyFont="1" applyFill="1" applyBorder="1" applyAlignment="1">
      <alignment horizontal="right" vertical="top" wrapText="1"/>
    </xf>
    <xf numFmtId="0" fontId="22" fillId="5" borderId="22" xfId="0" applyFont="1" applyFill="1" applyBorder="1">
      <alignment vertical="top" wrapText="1"/>
    </xf>
    <xf numFmtId="0" fontId="40" fillId="2" borderId="3" xfId="0" applyNumberFormat="1" applyFont="1" applyFill="1" applyBorder="1" applyAlignment="1">
      <alignment horizontal="left" vertical="center" wrapText="1"/>
    </xf>
    <xf numFmtId="0" fontId="40" fillId="2" borderId="0" xfId="0" applyNumberFormat="1" applyFont="1" applyFill="1" applyBorder="1" applyAlignment="1">
      <alignment horizontal="left" vertical="center" wrapText="1"/>
    </xf>
    <xf numFmtId="0" fontId="40" fillId="2" borderId="4" xfId="0" applyNumberFormat="1" applyFont="1" applyFill="1" applyBorder="1" applyAlignment="1">
      <alignment horizontal="left" vertical="center" wrapText="1"/>
    </xf>
    <xf numFmtId="49" fontId="40" fillId="2" borderId="3" xfId="0" applyNumberFormat="1" applyFont="1" applyFill="1" applyBorder="1" applyAlignment="1">
      <alignment horizontal="left" vertical="center" wrapText="1"/>
    </xf>
    <xf numFmtId="49" fontId="40" fillId="2" borderId="0" xfId="0" applyNumberFormat="1" applyFont="1" applyFill="1" applyBorder="1" applyAlignment="1">
      <alignment horizontal="left" vertical="center" wrapText="1"/>
    </xf>
    <xf numFmtId="49" fontId="40" fillId="2" borderId="4" xfId="0" applyNumberFormat="1" applyFont="1" applyFill="1" applyBorder="1" applyAlignment="1">
      <alignment horizontal="left" vertical="center" wrapText="1"/>
    </xf>
  </cellXfs>
  <cellStyles count="1">
    <cellStyle name="Normal" xfId="0" builtinId="0"/>
  </cellStyles>
  <dxfs count="60">
    <dxf>
      <font>
        <color rgb="FFF5EFE0"/>
      </font>
      <fill>
        <patternFill patternType="solid">
          <fgColor indexed="64"/>
          <bgColor rgb="FFF5EFE0"/>
        </patternFill>
      </fill>
    </dxf>
    <dxf>
      <font>
        <color rgb="FF1A1A1A"/>
      </font>
      <fill>
        <patternFill patternType="solid">
          <fgColor indexed="64"/>
          <bgColor rgb="FF1A1A1A"/>
        </patternFill>
      </fill>
    </dxf>
    <dxf>
      <font>
        <color rgb="FFD9A77A"/>
      </font>
      <fill>
        <patternFill patternType="solid">
          <fgColor indexed="64"/>
          <bgColor rgb="FFD9A77A"/>
        </patternFill>
      </fill>
    </dxf>
    <dxf>
      <font>
        <color rgb="FF7E9550"/>
      </font>
      <fill>
        <patternFill patternType="solid">
          <fgColor indexed="64"/>
          <bgColor rgb="FF7E9550"/>
        </patternFill>
      </fill>
    </dxf>
    <dxf>
      <font>
        <color rgb="FFC9B8D9"/>
      </font>
      <fill>
        <patternFill patternType="solid">
          <fgColor indexed="64"/>
          <bgColor rgb="FFC9B8D9"/>
        </patternFill>
      </fill>
    </dxf>
    <dxf>
      <font>
        <color rgb="FFC7CFD9"/>
      </font>
      <fill>
        <patternFill patternType="solid">
          <fgColor indexed="64"/>
          <bgColor rgb="FFC7CFD9"/>
        </patternFill>
      </fill>
    </dxf>
    <dxf>
      <font>
        <color rgb="FFE8D87A"/>
      </font>
      <fill>
        <patternFill patternType="solid">
          <fgColor indexed="64"/>
          <bgColor rgb="FFE8D87A"/>
        </patternFill>
      </fill>
    </dxf>
    <dxf>
      <font>
        <color rgb="FFE8C4A0"/>
      </font>
      <fill>
        <patternFill patternType="solid">
          <fgColor indexed="64"/>
          <bgColor rgb="FFE8C4A0"/>
        </patternFill>
      </fill>
    </dxf>
    <dxf>
      <font>
        <color rgb="FFE8A89A"/>
      </font>
      <fill>
        <patternFill patternType="solid">
          <fgColor indexed="64"/>
          <bgColor rgb="FFE8A89A"/>
        </patternFill>
      </fill>
    </dxf>
    <dxf>
      <font>
        <color rgb="FF6B6661"/>
      </font>
      <fill>
        <patternFill patternType="solid">
          <fgColor indexed="64"/>
          <bgColor rgb="FFE8E4DD"/>
        </patternFill>
      </fill>
    </dxf>
    <dxf>
      <font>
        <color rgb="FF1F4D2E"/>
      </font>
      <fill>
        <patternFill patternType="solid">
          <fgColor indexed="64"/>
          <bgColor rgb="FFD4ECDD"/>
        </patternFill>
      </fill>
    </dxf>
    <dxf>
      <font>
        <color rgb="FF6B4A1A"/>
      </font>
      <fill>
        <patternFill patternType="solid">
          <fgColor indexed="64"/>
          <bgColor rgb="FFFBE8B8"/>
        </patternFill>
      </fill>
    </dxf>
    <dxf>
      <font>
        <color rgb="FF5C1A1F"/>
      </font>
      <fill>
        <patternFill patternType="solid">
          <fgColor indexed="64"/>
          <bgColor rgb="FFF3C7CB"/>
        </patternFill>
      </fill>
    </dxf>
    <dxf>
      <font>
        <color rgb="FF6B6661"/>
      </font>
      <fill>
        <patternFill patternType="solid">
          <fgColor indexed="64"/>
          <bgColor rgb="FFE8E4DD"/>
        </patternFill>
      </fill>
    </dxf>
    <dxf>
      <font>
        <color rgb="FF1F4D2E"/>
      </font>
      <fill>
        <patternFill patternType="solid">
          <fgColor indexed="64"/>
          <bgColor rgb="FFD4ECDD"/>
        </patternFill>
      </fill>
    </dxf>
    <dxf>
      <font>
        <color rgb="FF6B4A1A"/>
      </font>
      <fill>
        <patternFill patternType="solid">
          <fgColor indexed="64"/>
          <bgColor rgb="FFFBE8B8"/>
        </patternFill>
      </fill>
    </dxf>
    <dxf>
      <font>
        <color rgb="FF5C1A1F"/>
      </font>
      <fill>
        <patternFill patternType="solid">
          <fgColor indexed="64"/>
          <bgColor rgb="FFF3C7CB"/>
        </patternFill>
      </fill>
    </dxf>
    <dxf>
      <font>
        <color rgb="FFFAAB94"/>
      </font>
      <fill>
        <patternFill patternType="solid">
          <fgColor indexed="64"/>
          <bgColor rgb="FFFFEDEA"/>
        </patternFill>
      </fill>
    </dxf>
    <dxf>
      <font>
        <b/>
        <i val="0"/>
        <color rgb="FF2C2C34"/>
      </font>
      <fill>
        <patternFill patternType="solid">
          <fgColor indexed="64"/>
          <bgColor rgb="FFD1D161"/>
        </patternFill>
      </fill>
    </dxf>
    <dxf>
      <font>
        <b/>
        <i val="0"/>
        <color rgb="FF2C2C34"/>
      </font>
      <fill>
        <patternFill patternType="solid">
          <fgColor indexed="64"/>
          <bgColor rgb="FFD1D161"/>
        </patternFill>
      </fill>
    </dxf>
    <dxf>
      <font>
        <b/>
        <i val="0"/>
        <color rgb="FF2C2C34"/>
      </font>
      <fill>
        <patternFill patternType="solid">
          <fgColor indexed="64"/>
          <bgColor rgb="FFFAAB94"/>
        </patternFill>
      </fill>
    </dxf>
    <dxf>
      <font>
        <b/>
        <i val="0"/>
        <color rgb="FFFFFFFF"/>
      </font>
      <fill>
        <patternFill patternType="solid">
          <fgColor indexed="64"/>
          <bgColor rgb="FF2C2C34"/>
        </patternFill>
      </fill>
    </dxf>
    <dxf>
      <font>
        <b/>
        <i val="0"/>
        <color rgb="FF2C2C34"/>
      </font>
      <fill>
        <patternFill patternType="solid">
          <fgColor indexed="64"/>
          <bgColor rgb="FFD1D161"/>
        </patternFill>
      </fill>
    </dxf>
    <dxf>
      <font>
        <b/>
        <i val="0"/>
        <color rgb="FF2C2C34"/>
      </font>
      <fill>
        <patternFill patternType="solid">
          <fgColor indexed="64"/>
          <bgColor rgb="FFFAAB94"/>
        </patternFill>
      </fill>
    </dxf>
    <dxf>
      <font>
        <b/>
        <i val="0"/>
        <color rgb="FFFFFFFF"/>
      </font>
      <fill>
        <patternFill patternType="solid">
          <fgColor indexed="64"/>
          <bgColor rgb="FF2C2C34"/>
        </patternFill>
      </fill>
    </dxf>
    <dxf>
      <font>
        <b/>
        <i val="0"/>
        <color rgb="FF2C2C34"/>
      </font>
      <fill>
        <patternFill patternType="solid">
          <fgColor indexed="64"/>
          <bgColor rgb="FFD1D161"/>
        </patternFill>
      </fill>
    </dxf>
    <dxf>
      <font>
        <b/>
        <i val="0"/>
        <color rgb="FF2C2C34"/>
      </font>
      <fill>
        <patternFill patternType="solid">
          <fgColor indexed="64"/>
          <bgColor rgb="FFFAAB94"/>
        </patternFill>
      </fill>
    </dxf>
    <dxf>
      <font>
        <b/>
        <i val="0"/>
        <color rgb="FFFFFFFF"/>
      </font>
      <fill>
        <patternFill patternType="solid">
          <fgColor indexed="64"/>
          <bgColor rgb="FF2C2C34"/>
        </patternFill>
      </fill>
    </dxf>
    <dxf>
      <font>
        <b/>
        <i val="0"/>
        <color rgb="FF2C2C34"/>
      </font>
      <fill>
        <patternFill patternType="solid">
          <fgColor indexed="64"/>
          <bgColor rgb="FFD1D161"/>
        </patternFill>
      </fill>
    </dxf>
    <dxf>
      <font>
        <b/>
        <i val="0"/>
        <color rgb="FF2C2C34"/>
      </font>
      <fill>
        <patternFill patternType="solid">
          <fgColor indexed="64"/>
          <bgColor rgb="FFFAAB94"/>
        </patternFill>
      </fill>
    </dxf>
    <dxf>
      <font>
        <b/>
        <i val="0"/>
        <color rgb="FFFFFFFF"/>
      </font>
      <fill>
        <patternFill patternType="solid">
          <fgColor indexed="64"/>
          <bgColor rgb="FF2C2C34"/>
        </patternFill>
      </fill>
    </dxf>
    <dxf>
      <font>
        <b/>
        <i val="0"/>
        <color rgb="FF2C2C34"/>
      </font>
      <fill>
        <patternFill patternType="solid">
          <fgColor indexed="64"/>
          <bgColor rgb="FFD1D161"/>
        </patternFill>
      </fill>
    </dxf>
    <dxf>
      <font>
        <b/>
        <i val="0"/>
        <color rgb="FF2C2C34"/>
      </font>
      <fill>
        <patternFill patternType="solid">
          <fgColor indexed="64"/>
          <bgColor rgb="FFFAAB94"/>
        </patternFill>
      </fill>
    </dxf>
    <dxf>
      <font>
        <b/>
        <i val="0"/>
        <color rgb="FFFFFFFF"/>
      </font>
      <fill>
        <patternFill patternType="solid">
          <fgColor indexed="64"/>
          <bgColor rgb="FF2C2C34"/>
        </patternFill>
      </fill>
    </dxf>
    <dxf>
      <font>
        <b/>
        <i val="0"/>
        <color rgb="FFFFFFFF"/>
      </font>
      <fill>
        <patternFill patternType="solid">
          <fgColor indexed="64"/>
          <bgColor rgb="FFFF7D59"/>
        </patternFill>
      </fill>
    </dxf>
    <dxf>
      <font>
        <b/>
        <i val="0"/>
        <color rgb="FF2C2C34"/>
      </font>
      <fill>
        <patternFill patternType="solid">
          <fgColor indexed="64"/>
          <bgColor rgb="FFFFDE94"/>
        </patternFill>
      </fill>
    </dxf>
    <dxf>
      <font>
        <b/>
        <i val="0"/>
        <color rgb="FF2C2C34"/>
      </font>
      <fill>
        <patternFill patternType="solid">
          <fgColor indexed="64"/>
          <bgColor rgb="FFFFBDE8"/>
        </patternFill>
      </fill>
    </dxf>
    <dxf>
      <font>
        <b/>
        <i val="0"/>
        <color rgb="FFFFFFFF"/>
      </font>
      <fill>
        <patternFill patternType="solid">
          <fgColor indexed="64"/>
          <bgColor rgb="FF99B0ED"/>
        </patternFill>
      </fill>
    </dxf>
    <dxf>
      <font>
        <b/>
        <i val="0"/>
        <color rgb="FF2C2C34"/>
      </font>
      <fill>
        <patternFill patternType="solid">
          <fgColor indexed="64"/>
          <bgColor rgb="FFCDDBF9"/>
        </patternFill>
      </fill>
    </dxf>
    <dxf>
      <font>
        <b/>
        <i val="0"/>
        <color rgb="FF2C2C34"/>
      </font>
      <fill>
        <patternFill patternType="solid">
          <fgColor indexed="64"/>
          <bgColor rgb="FFFAAB94"/>
        </patternFill>
      </fill>
    </dxf>
    <dxf>
      <font>
        <b/>
        <i val="0"/>
        <color rgb="FF2C2C34"/>
      </font>
      <fill>
        <patternFill patternType="solid">
          <fgColor indexed="64"/>
          <bgColor rgb="FFD1D161"/>
        </patternFill>
      </fill>
    </dxf>
    <dxf>
      <font>
        <b/>
        <i val="0"/>
        <color rgb="FFFFFFFF"/>
      </font>
      <fill>
        <patternFill patternType="solid">
          <fgColor indexed="64"/>
          <bgColor rgb="FF2C2C34"/>
        </patternFill>
      </fill>
    </dxf>
    <dxf>
      <font>
        <b/>
        <i val="0"/>
        <color rgb="FF2C2C34"/>
      </font>
      <fill>
        <patternFill patternType="solid">
          <fgColor indexed="64"/>
          <bgColor rgb="FFD1D161"/>
        </patternFill>
      </fill>
    </dxf>
    <dxf>
      <font>
        <b/>
        <i val="0"/>
        <color rgb="FF2C2C34"/>
      </font>
      <fill>
        <patternFill patternType="solid">
          <fgColor indexed="64"/>
          <bgColor rgb="FFFAAB94"/>
        </patternFill>
      </fill>
    </dxf>
    <dxf>
      <font>
        <b/>
        <i val="0"/>
        <color rgb="FFFFFFFF"/>
      </font>
      <fill>
        <patternFill patternType="solid">
          <fgColor indexed="64"/>
          <bgColor rgb="FF2C2C34"/>
        </patternFill>
      </fill>
    </dxf>
    <dxf>
      <font>
        <b/>
        <i val="0"/>
        <color rgb="FF2C2C34"/>
      </font>
      <fill>
        <patternFill patternType="solid">
          <fgColor indexed="64"/>
          <bgColor rgb="FFD1D161"/>
        </patternFill>
      </fill>
    </dxf>
    <dxf>
      <font>
        <b/>
        <i val="0"/>
        <color rgb="FF2C2C34"/>
      </font>
      <fill>
        <patternFill patternType="solid">
          <fgColor indexed="64"/>
          <bgColor rgb="FFFAAB94"/>
        </patternFill>
      </fill>
    </dxf>
    <dxf>
      <font>
        <b/>
        <i val="0"/>
        <color rgb="FFFFFFFF"/>
      </font>
      <fill>
        <patternFill patternType="solid">
          <fgColor indexed="64"/>
          <bgColor rgb="FF2C2C34"/>
        </patternFill>
      </fill>
    </dxf>
    <dxf>
      <font>
        <b/>
        <i val="0"/>
        <color rgb="FF2C2C34"/>
      </font>
      <fill>
        <patternFill patternType="solid">
          <fgColor indexed="64"/>
          <bgColor rgb="FFD1D161"/>
        </patternFill>
      </fill>
    </dxf>
    <dxf>
      <font>
        <b/>
        <i val="0"/>
        <color rgb="FF2C2C34"/>
      </font>
      <fill>
        <patternFill patternType="solid">
          <fgColor indexed="64"/>
          <bgColor rgb="FFFAAB94"/>
        </patternFill>
      </fill>
    </dxf>
    <dxf>
      <font>
        <b/>
        <i val="0"/>
        <color rgb="FFFFFFFF"/>
      </font>
      <fill>
        <patternFill patternType="solid">
          <fgColor indexed="64"/>
          <bgColor rgb="FF2C2C34"/>
        </patternFill>
      </fill>
    </dxf>
    <dxf>
      <font>
        <b/>
        <i val="0"/>
        <color rgb="FF2C2C34"/>
      </font>
      <fill>
        <patternFill patternType="solid">
          <fgColor indexed="64"/>
          <bgColor rgb="FFD1D161"/>
        </patternFill>
      </fill>
    </dxf>
    <dxf>
      <font>
        <b/>
        <i val="0"/>
        <color rgb="FF2C2C34"/>
      </font>
      <fill>
        <patternFill patternType="solid">
          <fgColor indexed="64"/>
          <bgColor rgb="FFFAAB94"/>
        </patternFill>
      </fill>
    </dxf>
    <dxf>
      <font>
        <b/>
        <i val="0"/>
        <color rgb="FFFFFFFF"/>
      </font>
      <fill>
        <patternFill patternType="solid">
          <fgColor indexed="64"/>
          <bgColor rgb="FF2C2C34"/>
        </patternFill>
      </fill>
    </dxf>
    <dxf>
      <font>
        <b/>
        <i val="0"/>
        <color rgb="FF2C2C34"/>
      </font>
      <fill>
        <patternFill patternType="solid">
          <fgColor indexed="64"/>
          <bgColor rgb="FFD1D161"/>
        </patternFill>
      </fill>
    </dxf>
    <dxf>
      <font>
        <b/>
        <i val="0"/>
        <color rgb="FF2C2C34"/>
      </font>
      <fill>
        <patternFill patternType="solid">
          <fgColor indexed="64"/>
          <bgColor rgb="FFFAAB94"/>
        </patternFill>
      </fill>
    </dxf>
    <dxf>
      <font>
        <b/>
        <i val="0"/>
        <color rgb="FFFFFFFF"/>
      </font>
      <fill>
        <patternFill patternType="solid">
          <fgColor indexed="64"/>
          <bgColor rgb="FF2C2C34"/>
        </patternFill>
      </fill>
    </dxf>
    <dxf>
      <font>
        <b/>
        <i val="0"/>
        <color rgb="FF2C2C34"/>
      </font>
      <fill>
        <patternFill patternType="solid">
          <fgColor indexed="64"/>
          <bgColor rgb="FFFAAB94"/>
        </patternFill>
      </fill>
    </dxf>
    <dxf>
      <font>
        <b/>
        <i val="0"/>
        <color rgb="FFFFFFFF"/>
      </font>
      <fill>
        <patternFill patternType="solid">
          <fgColor indexed="64"/>
          <bgColor rgb="FF2C2C34"/>
        </patternFill>
      </fill>
    </dxf>
    <dxf>
      <font>
        <b/>
        <i val="0"/>
        <color rgb="FF2C2C34"/>
      </font>
      <fill>
        <patternFill patternType="solid">
          <fgColor indexed="64"/>
          <bgColor rgb="FFD1D161"/>
        </patternFill>
      </fill>
    </dxf>
  </dxfs>
  <tableStyles count="0"/>
  <colors>
    <indexedColors>
      <rgbColor rgb="FF000000"/>
      <rgbColor rgb="FFFFFFFF"/>
      <rgbColor rgb="FFFF0000"/>
      <rgbColor rgb="FF00FF00"/>
      <rgbColor rgb="FF0000FF"/>
      <rgbColor rgb="FFFFFF00"/>
      <rgbColor rgb="FFFF00FF"/>
      <rgbColor rgb="FF00FFFF"/>
      <rgbColor rgb="FF000000"/>
      <rgbColor rgb="FFFEFFFE"/>
      <rgbColor rgb="FF00A2FF"/>
      <rgbColor rgb="FFC8C8C8"/>
      <rgbColor rgb="FFED220B"/>
      <rgbColor rgb="FF72FCE9"/>
      <rgbColor rgb="FF16E6CF"/>
      <rgbColor rgb="FF56C1FE"/>
      <rgbColor rgb="FFFF94CA"/>
      <rgbColor rgb="FF89847F"/>
      <rgbColor rgb="FFD5D5D5"/>
      <rgbColor rgb="FFF7F7F6"/>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33F37"/>
      <color rgb="FFFFFA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330200</xdr:rowOff>
    </xdr:from>
    <xdr:to>
      <xdr:col>1</xdr:col>
      <xdr:colOff>3705860</xdr:colOff>
      <xdr:row>0</xdr:row>
      <xdr:rowOff>1143000</xdr:rowOff>
    </xdr:to>
    <xdr:pic>
      <xdr:nvPicPr>
        <xdr:cNvPr id="3" name="Picture 2">
          <a:extLst>
            <a:ext uri="{FF2B5EF4-FFF2-40B4-BE49-F238E27FC236}">
              <a16:creationId xmlns:a16="http://schemas.microsoft.com/office/drawing/2014/main" id="{FA6D7CA6-F9F9-2878-3972-03FF851626AD}"/>
            </a:ext>
          </a:extLst>
        </xdr:cNvPr>
        <xdr:cNvPicPr>
          <a:picLocks noChangeAspect="1"/>
        </xdr:cNvPicPr>
      </xdr:nvPicPr>
      <xdr:blipFill rotWithShape="1">
        <a:blip xmlns:r="http://schemas.openxmlformats.org/officeDocument/2006/relationships" r:embed="rId1"/>
        <a:srcRect t="25598" b="36480"/>
        <a:stretch>
          <a:fillRect/>
        </a:stretch>
      </xdr:blipFill>
      <xdr:spPr>
        <a:xfrm>
          <a:off x="266700" y="330200"/>
          <a:ext cx="3820160" cy="812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406400</xdr:colOff>
      <xdr:row>1</xdr:row>
      <xdr:rowOff>381000</xdr:rowOff>
    </xdr:from>
    <xdr:to>
      <xdr:col>2</xdr:col>
      <xdr:colOff>0</xdr:colOff>
      <xdr:row>2</xdr:row>
      <xdr:rowOff>38100</xdr:rowOff>
    </xdr:to>
    <xdr:pic>
      <xdr:nvPicPr>
        <xdr:cNvPr id="6" name="Picture 5">
          <a:extLst>
            <a:ext uri="{FF2B5EF4-FFF2-40B4-BE49-F238E27FC236}">
              <a16:creationId xmlns:a16="http://schemas.microsoft.com/office/drawing/2014/main" id="{4E94E4DC-F641-1951-9883-B7325042C48B}"/>
            </a:ext>
          </a:extLst>
        </xdr:cNvPr>
        <xdr:cNvPicPr>
          <a:picLocks noChangeAspect="1"/>
        </xdr:cNvPicPr>
      </xdr:nvPicPr>
      <xdr:blipFill>
        <a:blip xmlns:r="http://schemas.openxmlformats.org/officeDocument/2006/relationships" r:embed="rId1"/>
        <a:stretch>
          <a:fillRect/>
        </a:stretch>
      </xdr:blipFill>
      <xdr:spPr>
        <a:xfrm>
          <a:off x="406400" y="698500"/>
          <a:ext cx="3937000" cy="520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101600</xdr:colOff>
      <xdr:row>0</xdr:row>
      <xdr:rowOff>25399</xdr:rowOff>
    </xdr:from>
    <xdr:to>
      <xdr:col>4</xdr:col>
      <xdr:colOff>12700</xdr:colOff>
      <xdr:row>0</xdr:row>
      <xdr:rowOff>717142</xdr:rowOff>
    </xdr:to>
    <xdr:pic>
      <xdr:nvPicPr>
        <xdr:cNvPr id="3" name="Picture 2">
          <a:extLst>
            <a:ext uri="{FF2B5EF4-FFF2-40B4-BE49-F238E27FC236}">
              <a16:creationId xmlns:a16="http://schemas.microsoft.com/office/drawing/2014/main" id="{D664CB98-8FB5-C443-8759-CDC4AB7C96C4}"/>
            </a:ext>
          </a:extLst>
        </xdr:cNvPr>
        <xdr:cNvPicPr>
          <a:picLocks noChangeAspect="1"/>
        </xdr:cNvPicPr>
      </xdr:nvPicPr>
      <xdr:blipFill rotWithShape="1">
        <a:blip xmlns:r="http://schemas.openxmlformats.org/officeDocument/2006/relationships" r:embed="rId1"/>
        <a:srcRect t="25598" b="36480"/>
        <a:stretch>
          <a:fillRect/>
        </a:stretch>
      </xdr:blipFill>
      <xdr:spPr>
        <a:xfrm>
          <a:off x="101600" y="25399"/>
          <a:ext cx="3251200" cy="6917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139700</xdr:colOff>
      <xdr:row>0</xdr:row>
      <xdr:rowOff>691743</xdr:rowOff>
    </xdr:to>
    <xdr:pic>
      <xdr:nvPicPr>
        <xdr:cNvPr id="5" name="Picture 4">
          <a:extLst>
            <a:ext uri="{FF2B5EF4-FFF2-40B4-BE49-F238E27FC236}">
              <a16:creationId xmlns:a16="http://schemas.microsoft.com/office/drawing/2014/main" id="{FDD01C9C-B87B-BF44-BF36-0755DB875DD3}"/>
            </a:ext>
          </a:extLst>
        </xdr:cNvPr>
        <xdr:cNvPicPr>
          <a:picLocks noChangeAspect="1"/>
        </xdr:cNvPicPr>
      </xdr:nvPicPr>
      <xdr:blipFill rotWithShape="1">
        <a:blip xmlns:r="http://schemas.openxmlformats.org/officeDocument/2006/relationships" r:embed="rId1"/>
        <a:srcRect t="25598" b="36480"/>
        <a:stretch>
          <a:fillRect/>
        </a:stretch>
      </xdr:blipFill>
      <xdr:spPr>
        <a:xfrm>
          <a:off x="0" y="0"/>
          <a:ext cx="3251200" cy="6917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3251200</xdr:colOff>
      <xdr:row>0</xdr:row>
      <xdr:rowOff>691743</xdr:rowOff>
    </xdr:to>
    <xdr:pic>
      <xdr:nvPicPr>
        <xdr:cNvPr id="3" name="Picture 2">
          <a:extLst>
            <a:ext uri="{FF2B5EF4-FFF2-40B4-BE49-F238E27FC236}">
              <a16:creationId xmlns:a16="http://schemas.microsoft.com/office/drawing/2014/main" id="{3986925E-6E18-3640-89D8-16F7AA62C727}"/>
            </a:ext>
          </a:extLst>
        </xdr:cNvPr>
        <xdr:cNvPicPr>
          <a:picLocks noChangeAspect="1"/>
        </xdr:cNvPicPr>
      </xdr:nvPicPr>
      <xdr:blipFill rotWithShape="1">
        <a:blip xmlns:r="http://schemas.openxmlformats.org/officeDocument/2006/relationships" r:embed="rId1"/>
        <a:srcRect t="25598" b="36480"/>
        <a:stretch>
          <a:fillRect/>
        </a:stretch>
      </xdr:blipFill>
      <xdr:spPr>
        <a:xfrm>
          <a:off x="383396" y="0"/>
          <a:ext cx="3251200" cy="6917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3251200</xdr:colOff>
      <xdr:row>0</xdr:row>
      <xdr:rowOff>691743</xdr:rowOff>
    </xdr:to>
    <xdr:pic>
      <xdr:nvPicPr>
        <xdr:cNvPr id="3" name="Picture 2">
          <a:extLst>
            <a:ext uri="{FF2B5EF4-FFF2-40B4-BE49-F238E27FC236}">
              <a16:creationId xmlns:a16="http://schemas.microsoft.com/office/drawing/2014/main" id="{B94155B9-D58A-9D46-BCB5-33EB3D252982}"/>
            </a:ext>
          </a:extLst>
        </xdr:cNvPr>
        <xdr:cNvPicPr>
          <a:picLocks noChangeAspect="1"/>
        </xdr:cNvPicPr>
      </xdr:nvPicPr>
      <xdr:blipFill rotWithShape="1">
        <a:blip xmlns:r="http://schemas.openxmlformats.org/officeDocument/2006/relationships" r:embed="rId1"/>
        <a:srcRect t="25598" b="36480"/>
        <a:stretch>
          <a:fillRect/>
        </a:stretch>
      </xdr:blipFill>
      <xdr:spPr>
        <a:xfrm>
          <a:off x="508000" y="0"/>
          <a:ext cx="3251200" cy="6917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1054100</xdr:colOff>
      <xdr:row>2</xdr:row>
      <xdr:rowOff>152400</xdr:rowOff>
    </xdr:from>
    <xdr:to>
      <xdr:col>14</xdr:col>
      <xdr:colOff>215900</xdr:colOff>
      <xdr:row>4</xdr:row>
      <xdr:rowOff>12700</xdr:rowOff>
    </xdr:to>
    <xdr:pic>
      <xdr:nvPicPr>
        <xdr:cNvPr id="5" name="Picture 4">
          <a:extLst>
            <a:ext uri="{FF2B5EF4-FFF2-40B4-BE49-F238E27FC236}">
              <a16:creationId xmlns:a16="http://schemas.microsoft.com/office/drawing/2014/main" id="{49D45984-1ADE-EC43-9EB3-D5E862AC532B}"/>
            </a:ext>
          </a:extLst>
        </xdr:cNvPr>
        <xdr:cNvPicPr>
          <a:picLocks noChangeAspect="1"/>
        </xdr:cNvPicPr>
      </xdr:nvPicPr>
      <xdr:blipFill>
        <a:blip xmlns:r="http://schemas.openxmlformats.org/officeDocument/2006/relationships" r:embed="rId1"/>
        <a:stretch>
          <a:fillRect/>
        </a:stretch>
      </xdr:blipFill>
      <xdr:spPr>
        <a:xfrm>
          <a:off x="1054100" y="520700"/>
          <a:ext cx="3937000" cy="520700"/>
        </a:xfrm>
        <a:prstGeom prst="rect">
          <a:avLst/>
        </a:prstGeom>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ED2A925-9E37-6F40-A8D6-76224DADDB9D}">
  <we:reference id="wa200009404" version="1.0.0.8" store="en-US" storeType="OMEX"/>
  <we:alternateReferences>
    <we:reference id="wa200009404" version="1.0.0.8" store="en-US" storeType="OMEX"/>
  </we:alternateReferences>
  <we:properties>
    <we:property name="claude.fileId" value="&quot;b5771aa2-2ff7-4fa8-8f72-58c8fa6487e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5617C-2109-C943-8871-838ACCF90E93}">
  <sheetPr>
    <tabColor rgb="FFFFE5E0"/>
  </sheetPr>
  <dimension ref="A1:AK728"/>
  <sheetViews>
    <sheetView showGridLines="0" workbookViewId="0">
      <selection activeCell="E197" sqref="E197"/>
    </sheetView>
  </sheetViews>
  <sheetFormatPr baseColWidth="10" defaultRowHeight="13"/>
  <cols>
    <col min="1" max="1" width="5" style="117" customWidth="1"/>
    <col min="2" max="2" width="75" style="2" customWidth="1"/>
    <col min="3" max="3" width="5.83203125" style="117" customWidth="1"/>
    <col min="4" max="4" width="6.1640625" style="1" customWidth="1"/>
  </cols>
  <sheetData>
    <row r="1" spans="1:37" ht="105" customHeight="1">
      <c r="B1" s="117"/>
    </row>
    <row r="2" spans="1:37" ht="40" customHeight="1">
      <c r="A2" s="118"/>
      <c r="B2" s="128" t="s">
        <v>94</v>
      </c>
      <c r="C2" s="118"/>
      <c r="D2" s="120"/>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row>
    <row r="3" spans="1:37" ht="12" customHeight="1">
      <c r="A3" s="118"/>
      <c r="B3" s="118"/>
      <c r="C3" s="118"/>
      <c r="D3" s="120"/>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row>
    <row r="4" spans="1:37" ht="30" customHeight="1">
      <c r="A4" s="118"/>
      <c r="B4" s="127" t="s">
        <v>61</v>
      </c>
      <c r="C4" s="118"/>
      <c r="D4" s="120"/>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row>
    <row r="5" spans="1:37" ht="120" customHeight="1">
      <c r="A5" s="118"/>
      <c r="B5" s="129" t="s">
        <v>62</v>
      </c>
      <c r="C5" s="118"/>
      <c r="D5" s="120"/>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row>
    <row r="6" spans="1:37" ht="12" customHeight="1">
      <c r="A6" s="118"/>
      <c r="B6" s="129"/>
      <c r="C6" s="118"/>
      <c r="D6" s="120"/>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row>
    <row r="7" spans="1:37" ht="30" customHeight="1">
      <c r="A7" s="118"/>
      <c r="B7" s="126" t="s">
        <v>63</v>
      </c>
      <c r="C7" s="118"/>
      <c r="D7" s="120"/>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row>
    <row r="8" spans="1:37" ht="120" customHeight="1">
      <c r="A8" s="118"/>
      <c r="B8" s="129" t="s">
        <v>64</v>
      </c>
      <c r="C8" s="118"/>
      <c r="D8" s="120"/>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row>
    <row r="9" spans="1:37" ht="12" customHeight="1">
      <c r="A9" s="118"/>
      <c r="B9" s="129"/>
      <c r="C9" s="118"/>
      <c r="D9" s="120"/>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row>
    <row r="10" spans="1:37" ht="30" customHeight="1">
      <c r="A10" s="118"/>
      <c r="B10" s="125" t="s">
        <v>65</v>
      </c>
      <c r="C10" s="118"/>
      <c r="D10" s="120"/>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row>
    <row r="11" spans="1:37" ht="120" customHeight="1">
      <c r="A11" s="118"/>
      <c r="B11" s="129" t="s">
        <v>66</v>
      </c>
      <c r="C11" s="118"/>
      <c r="D11" s="120"/>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row>
    <row r="12" spans="1:37" ht="12" customHeight="1">
      <c r="A12" s="118"/>
      <c r="B12" s="129"/>
      <c r="C12" s="118"/>
      <c r="D12" s="120"/>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row>
    <row r="13" spans="1:37" ht="30" customHeight="1">
      <c r="A13" s="118"/>
      <c r="B13" s="124" t="s">
        <v>67</v>
      </c>
      <c r="C13" s="118"/>
      <c r="D13" s="120"/>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row>
    <row r="14" spans="1:37" ht="120" customHeight="1">
      <c r="A14" s="118"/>
      <c r="B14" s="129" t="s">
        <v>68</v>
      </c>
      <c r="C14" s="118"/>
      <c r="D14" s="120"/>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row>
    <row r="15" spans="1:37" ht="12" customHeight="1">
      <c r="A15" s="118"/>
      <c r="B15" s="129"/>
      <c r="C15" s="118"/>
      <c r="D15" s="120"/>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row>
    <row r="16" spans="1:37" ht="30" customHeight="1">
      <c r="A16" s="118"/>
      <c r="B16" s="123" t="s">
        <v>69</v>
      </c>
      <c r="C16" s="118"/>
      <c r="D16" s="120"/>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row>
    <row r="17" spans="1:37" ht="120" customHeight="1">
      <c r="A17" s="118"/>
      <c r="B17" s="129" t="s">
        <v>111</v>
      </c>
      <c r="C17" s="118"/>
      <c r="D17" s="120"/>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row>
    <row r="18" spans="1:37" ht="12" customHeight="1">
      <c r="A18" s="118"/>
      <c r="B18" s="129"/>
      <c r="C18" s="118"/>
      <c r="D18" s="120"/>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row>
    <row r="19" spans="1:37" ht="30" customHeight="1">
      <c r="A19" s="118"/>
      <c r="B19" s="121" t="s">
        <v>70</v>
      </c>
      <c r="C19" s="118"/>
      <c r="D19" s="120"/>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row>
    <row r="20" spans="1:37" ht="120" customHeight="1">
      <c r="A20" s="118"/>
      <c r="B20" s="129" t="s">
        <v>71</v>
      </c>
      <c r="C20" s="118"/>
      <c r="D20" s="120"/>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row>
    <row r="21" spans="1:37" ht="12" customHeight="1">
      <c r="A21" s="118"/>
      <c r="B21" s="129"/>
      <c r="C21" s="118"/>
      <c r="D21" s="120"/>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row>
    <row r="22" spans="1:37" ht="30" customHeight="1">
      <c r="A22" s="118"/>
      <c r="B22" s="122" t="s">
        <v>72</v>
      </c>
      <c r="C22" s="118"/>
      <c r="D22" s="120"/>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row>
    <row r="23" spans="1:37" ht="147" customHeight="1">
      <c r="A23" s="118"/>
      <c r="B23" s="129" t="s">
        <v>112</v>
      </c>
      <c r="C23" s="118"/>
      <c r="D23" s="120"/>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row>
    <row r="24" spans="1:37" ht="12" customHeight="1">
      <c r="A24" s="118"/>
      <c r="B24" s="130"/>
      <c r="C24" s="118"/>
      <c r="D24" s="120"/>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row>
    <row r="25" spans="1:37" ht="35" customHeight="1">
      <c r="A25" s="118"/>
      <c r="B25" s="131" t="s">
        <v>95</v>
      </c>
      <c r="C25" s="118"/>
      <c r="D25" s="120"/>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row>
    <row r="26" spans="1:37">
      <c r="A26" s="118"/>
      <c r="B26" s="130"/>
      <c r="C26" s="118"/>
      <c r="D26" s="120"/>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row>
    <row r="27" spans="1:37" ht="28">
      <c r="A27" s="118"/>
      <c r="B27" s="131"/>
      <c r="C27" s="118"/>
      <c r="D27" s="120"/>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row>
    <row r="28" spans="1:37">
      <c r="A28" s="118"/>
      <c r="B28" s="130"/>
      <c r="C28" s="118"/>
      <c r="D28" s="120"/>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row>
    <row r="29" spans="1:37">
      <c r="A29" s="118"/>
      <c r="B29" s="118"/>
      <c r="C29" s="118"/>
      <c r="D29" s="120"/>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row>
    <row r="30" spans="1:37">
      <c r="A30" s="118"/>
      <c r="B30" s="118"/>
      <c r="C30" s="118"/>
      <c r="D30" s="120"/>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row>
    <row r="31" spans="1:37">
      <c r="A31" s="118"/>
      <c r="B31" s="118"/>
      <c r="C31" s="118"/>
      <c r="D31" s="120"/>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row>
    <row r="32" spans="1:37">
      <c r="A32" s="118"/>
      <c r="B32" s="118"/>
      <c r="C32" s="118"/>
      <c r="D32" s="120"/>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row>
    <row r="33" spans="1:37">
      <c r="A33" s="118"/>
      <c r="B33" s="118"/>
      <c r="C33" s="118"/>
      <c r="D33" s="120"/>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row>
    <row r="34" spans="1:37">
      <c r="A34" s="118"/>
      <c r="B34" s="118"/>
      <c r="C34" s="118"/>
      <c r="D34" s="120"/>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row>
    <row r="35" spans="1:37">
      <c r="A35" s="118"/>
      <c r="B35" s="118"/>
      <c r="C35" s="118"/>
      <c r="D35" s="120"/>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row>
    <row r="36" spans="1:37">
      <c r="A36" s="118"/>
      <c r="B36" s="118"/>
      <c r="C36" s="118"/>
      <c r="D36" s="120"/>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row>
    <row r="37" spans="1:37">
      <c r="A37" s="118"/>
      <c r="B37" s="118"/>
      <c r="C37" s="118"/>
      <c r="D37" s="120"/>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row>
    <row r="38" spans="1:37">
      <c r="A38" s="118"/>
      <c r="B38" s="118"/>
      <c r="C38" s="118"/>
      <c r="D38" s="120"/>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row>
    <row r="39" spans="1:37">
      <c r="A39" s="118"/>
      <c r="B39" s="118"/>
      <c r="C39" s="118"/>
      <c r="D39" s="120"/>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row>
    <row r="40" spans="1:37">
      <c r="A40" s="118"/>
      <c r="B40" s="118"/>
      <c r="C40" s="118"/>
      <c r="D40" s="120"/>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row>
    <row r="41" spans="1:37">
      <c r="A41" s="118"/>
      <c r="B41" s="118"/>
      <c r="C41" s="118"/>
      <c r="D41" s="120"/>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row>
    <row r="42" spans="1:37">
      <c r="A42" s="118"/>
      <c r="B42" s="118"/>
      <c r="C42" s="118"/>
      <c r="D42" s="120"/>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row>
    <row r="43" spans="1:37">
      <c r="A43" s="118"/>
      <c r="B43" s="118"/>
      <c r="C43" s="118"/>
      <c r="D43" s="120"/>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row>
    <row r="44" spans="1:37">
      <c r="A44" s="118"/>
      <c r="B44" s="118"/>
      <c r="C44" s="118"/>
      <c r="D44" s="120"/>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row>
    <row r="45" spans="1:37">
      <c r="A45" s="118"/>
      <c r="B45" s="118"/>
      <c r="C45" s="118"/>
      <c r="D45" s="120"/>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row>
    <row r="46" spans="1:37">
      <c r="A46" s="118"/>
      <c r="B46" s="118"/>
      <c r="C46" s="118"/>
      <c r="D46" s="120"/>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row>
    <row r="47" spans="1:37">
      <c r="A47" s="118"/>
      <c r="B47" s="118"/>
      <c r="C47" s="118"/>
      <c r="D47" s="120"/>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row>
    <row r="48" spans="1:37">
      <c r="A48" s="118"/>
      <c r="B48" s="118"/>
      <c r="C48" s="118"/>
      <c r="D48" s="120"/>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row>
    <row r="49" spans="1:37">
      <c r="A49" s="118"/>
      <c r="B49" s="118"/>
      <c r="C49" s="118"/>
      <c r="D49" s="120"/>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row>
    <row r="50" spans="1:37">
      <c r="A50" s="118"/>
      <c r="B50" s="118"/>
      <c r="C50" s="118"/>
      <c r="D50" s="120"/>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row>
    <row r="51" spans="1:37">
      <c r="A51" s="118"/>
      <c r="B51" s="118"/>
      <c r="C51" s="118"/>
      <c r="D51" s="120"/>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row>
    <row r="52" spans="1:37">
      <c r="A52" s="118"/>
      <c r="B52" s="118"/>
      <c r="C52" s="118"/>
      <c r="D52" s="120"/>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row>
    <row r="53" spans="1:37">
      <c r="A53" s="118"/>
      <c r="B53" s="118"/>
      <c r="C53" s="118"/>
      <c r="D53" s="120"/>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row>
    <row r="54" spans="1:37">
      <c r="A54" s="118"/>
      <c r="B54" s="118"/>
      <c r="C54" s="118"/>
      <c r="D54" s="120"/>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row>
    <row r="55" spans="1:37">
      <c r="A55" s="118"/>
      <c r="B55" s="118"/>
      <c r="C55" s="118"/>
      <c r="D55" s="120"/>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row>
    <row r="56" spans="1:37">
      <c r="A56" s="118"/>
      <c r="B56" s="118"/>
      <c r="C56" s="118"/>
      <c r="D56" s="120"/>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row>
    <row r="57" spans="1:37">
      <c r="A57" s="118"/>
      <c r="B57" s="118"/>
      <c r="C57" s="118"/>
      <c r="D57" s="120"/>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row>
    <row r="58" spans="1:37">
      <c r="A58" s="118"/>
      <c r="B58" s="118"/>
      <c r="C58" s="118"/>
      <c r="D58" s="120"/>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row>
    <row r="59" spans="1:37">
      <c r="A59" s="118"/>
      <c r="B59" s="118"/>
      <c r="C59" s="118"/>
      <c r="D59" s="120"/>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row>
    <row r="60" spans="1:37">
      <c r="A60" s="118"/>
      <c r="B60" s="118"/>
      <c r="C60" s="118"/>
      <c r="D60" s="120"/>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row>
    <row r="61" spans="1:37">
      <c r="A61" s="118"/>
      <c r="B61" s="118"/>
      <c r="C61" s="118"/>
      <c r="D61" s="120"/>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row>
    <row r="62" spans="1:37">
      <c r="A62" s="118"/>
      <c r="B62" s="118"/>
      <c r="C62" s="118"/>
      <c r="D62" s="120"/>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row>
    <row r="63" spans="1:37">
      <c r="A63" s="118"/>
      <c r="B63" s="118"/>
      <c r="C63" s="118"/>
      <c r="D63" s="120"/>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row>
    <row r="64" spans="1:37">
      <c r="A64" s="118"/>
      <c r="B64" s="118"/>
      <c r="C64" s="118"/>
      <c r="D64" s="120"/>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row>
    <row r="65" spans="1:37">
      <c r="A65" s="118"/>
      <c r="B65" s="118"/>
      <c r="C65" s="118"/>
      <c r="D65" s="120"/>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row>
    <row r="66" spans="1:37">
      <c r="A66" s="118"/>
      <c r="B66" s="118"/>
      <c r="C66" s="118"/>
      <c r="D66" s="120"/>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row>
    <row r="67" spans="1:37">
      <c r="A67" s="118"/>
      <c r="B67" s="118"/>
      <c r="C67" s="118"/>
      <c r="D67" s="120"/>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row>
    <row r="68" spans="1:37">
      <c r="A68" s="118"/>
      <c r="B68" s="118"/>
      <c r="C68" s="118"/>
      <c r="D68" s="120"/>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row>
    <row r="69" spans="1:37">
      <c r="A69" s="118"/>
      <c r="B69" s="118"/>
      <c r="C69" s="118"/>
      <c r="D69" s="120"/>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row>
    <row r="70" spans="1:37">
      <c r="A70" s="118"/>
      <c r="B70" s="118"/>
      <c r="C70" s="118"/>
      <c r="D70" s="120"/>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row>
    <row r="71" spans="1:37">
      <c r="A71" s="118"/>
      <c r="B71" s="118"/>
      <c r="C71" s="118"/>
      <c r="D71" s="120"/>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row>
    <row r="72" spans="1:37">
      <c r="A72" s="118"/>
      <c r="B72" s="118"/>
      <c r="C72" s="118"/>
      <c r="D72" s="120"/>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row>
    <row r="73" spans="1:37">
      <c r="A73" s="118"/>
      <c r="B73" s="118"/>
      <c r="C73" s="118"/>
      <c r="D73" s="120"/>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row>
    <row r="74" spans="1:37">
      <c r="A74" s="118"/>
      <c r="B74" s="118"/>
      <c r="C74" s="118"/>
      <c r="D74" s="120"/>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row>
    <row r="75" spans="1:37">
      <c r="A75" s="118"/>
      <c r="B75" s="118"/>
      <c r="C75" s="118"/>
      <c r="D75" s="120"/>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row>
    <row r="76" spans="1:37">
      <c r="A76" s="118"/>
      <c r="B76" s="118"/>
      <c r="C76" s="118"/>
      <c r="D76" s="120"/>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row>
    <row r="77" spans="1:37">
      <c r="A77" s="118"/>
      <c r="B77" s="118"/>
      <c r="C77" s="118"/>
      <c r="D77" s="120"/>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row>
    <row r="78" spans="1:37">
      <c r="A78" s="118"/>
      <c r="B78" s="118"/>
      <c r="C78" s="118"/>
      <c r="D78" s="120"/>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row>
    <row r="79" spans="1:37">
      <c r="A79" s="118"/>
      <c r="B79" s="118"/>
      <c r="C79" s="118"/>
      <c r="D79" s="120"/>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row>
    <row r="80" spans="1:37">
      <c r="A80" s="118"/>
      <c r="B80" s="118"/>
      <c r="C80" s="118"/>
      <c r="D80" s="120"/>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row>
    <row r="81" spans="1:37">
      <c r="A81" s="118"/>
      <c r="B81" s="118"/>
      <c r="C81" s="118"/>
      <c r="D81" s="120"/>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row>
    <row r="82" spans="1:37">
      <c r="B82" s="117"/>
    </row>
    <row r="83" spans="1:37">
      <c r="B83" s="117"/>
    </row>
    <row r="84" spans="1:37">
      <c r="B84" s="117"/>
    </row>
    <row r="85" spans="1:37">
      <c r="B85" s="117"/>
    </row>
    <row r="86" spans="1:37">
      <c r="B86" s="117"/>
    </row>
    <row r="87" spans="1:37">
      <c r="B87" s="117"/>
    </row>
    <row r="88" spans="1:37">
      <c r="B88" s="117"/>
    </row>
    <row r="89" spans="1:37">
      <c r="B89" s="117"/>
    </row>
    <row r="90" spans="1:37">
      <c r="B90" s="117"/>
    </row>
    <row r="91" spans="1:37">
      <c r="B91" s="117"/>
    </row>
    <row r="92" spans="1:37">
      <c r="B92" s="117"/>
    </row>
    <row r="93" spans="1:37">
      <c r="B93" s="117"/>
    </row>
    <row r="94" spans="1:37">
      <c r="B94" s="117"/>
    </row>
    <row r="95" spans="1:37">
      <c r="B95" s="117"/>
    </row>
    <row r="96" spans="1:37">
      <c r="B96" s="117"/>
    </row>
    <row r="97" spans="2:2">
      <c r="B97" s="117"/>
    </row>
    <row r="98" spans="2:2">
      <c r="B98" s="117"/>
    </row>
    <row r="99" spans="2:2">
      <c r="B99" s="117"/>
    </row>
    <row r="100" spans="2:2">
      <c r="B100" s="117"/>
    </row>
    <row r="101" spans="2:2">
      <c r="B101" s="117"/>
    </row>
    <row r="102" spans="2:2">
      <c r="B102" s="117"/>
    </row>
    <row r="103" spans="2:2">
      <c r="B103" s="117"/>
    </row>
    <row r="104" spans="2:2">
      <c r="B104" s="117"/>
    </row>
    <row r="105" spans="2:2">
      <c r="B105" s="117"/>
    </row>
    <row r="106" spans="2:2">
      <c r="B106" s="117"/>
    </row>
    <row r="107" spans="2:2">
      <c r="B107" s="117"/>
    </row>
    <row r="108" spans="2:2">
      <c r="B108" s="117"/>
    </row>
    <row r="109" spans="2:2">
      <c r="B109" s="117"/>
    </row>
    <row r="110" spans="2:2">
      <c r="B110" s="117"/>
    </row>
    <row r="111" spans="2:2">
      <c r="B111" s="117"/>
    </row>
    <row r="112" spans="2:2">
      <c r="B112" s="117"/>
    </row>
    <row r="113" spans="2:2">
      <c r="B113" s="117"/>
    </row>
    <row r="114" spans="2:2">
      <c r="B114" s="117"/>
    </row>
    <row r="115" spans="2:2">
      <c r="B115" s="117"/>
    </row>
    <row r="116" spans="2:2">
      <c r="B116" s="117"/>
    </row>
    <row r="117" spans="2:2">
      <c r="B117" s="117"/>
    </row>
    <row r="118" spans="2:2">
      <c r="B118" s="117"/>
    </row>
    <row r="119" spans="2:2">
      <c r="B119" s="117"/>
    </row>
    <row r="120" spans="2:2">
      <c r="B120" s="117"/>
    </row>
    <row r="121" spans="2:2">
      <c r="B121" s="117"/>
    </row>
    <row r="122" spans="2:2">
      <c r="B122" s="117"/>
    </row>
    <row r="123" spans="2:2">
      <c r="B123" s="117"/>
    </row>
    <row r="124" spans="2:2">
      <c r="B124" s="117"/>
    </row>
    <row r="125" spans="2:2">
      <c r="B125" s="117"/>
    </row>
    <row r="126" spans="2:2">
      <c r="B126" s="117"/>
    </row>
    <row r="127" spans="2:2">
      <c r="B127" s="117"/>
    </row>
    <row r="128" spans="2:2">
      <c r="B128" s="117"/>
    </row>
    <row r="129" spans="2:2">
      <c r="B129" s="117"/>
    </row>
    <row r="130" spans="2:2">
      <c r="B130" s="117"/>
    </row>
    <row r="131" spans="2:2">
      <c r="B131" s="117"/>
    </row>
    <row r="132" spans="2:2">
      <c r="B132" s="117"/>
    </row>
    <row r="133" spans="2:2">
      <c r="B133" s="117"/>
    </row>
    <row r="134" spans="2:2">
      <c r="B134" s="117"/>
    </row>
    <row r="135" spans="2:2">
      <c r="B135" s="117"/>
    </row>
    <row r="136" spans="2:2">
      <c r="B136" s="117"/>
    </row>
    <row r="137" spans="2:2">
      <c r="B137" s="117"/>
    </row>
    <row r="138" spans="2:2">
      <c r="B138" s="117"/>
    </row>
    <row r="139" spans="2:2">
      <c r="B139" s="117"/>
    </row>
    <row r="140" spans="2:2">
      <c r="B140" s="117"/>
    </row>
    <row r="141" spans="2:2">
      <c r="B141" s="117"/>
    </row>
    <row r="142" spans="2:2">
      <c r="B142" s="117"/>
    </row>
    <row r="143" spans="2:2">
      <c r="B143" s="117"/>
    </row>
    <row r="144" spans="2:2">
      <c r="B144" s="117"/>
    </row>
    <row r="145" spans="2:2">
      <c r="B145" s="117"/>
    </row>
    <row r="146" spans="2:2">
      <c r="B146" s="117"/>
    </row>
    <row r="147" spans="2:2">
      <c r="B147" s="117"/>
    </row>
    <row r="148" spans="2:2">
      <c r="B148" s="117"/>
    </row>
    <row r="149" spans="2:2">
      <c r="B149" s="117"/>
    </row>
    <row r="150" spans="2:2">
      <c r="B150" s="117"/>
    </row>
    <row r="151" spans="2:2">
      <c r="B151" s="117"/>
    </row>
    <row r="152" spans="2:2">
      <c r="B152" s="117"/>
    </row>
    <row r="153" spans="2:2">
      <c r="B153" s="117"/>
    </row>
    <row r="154" spans="2:2">
      <c r="B154" s="117"/>
    </row>
    <row r="155" spans="2:2">
      <c r="B155" s="117"/>
    </row>
    <row r="156" spans="2:2">
      <c r="B156" s="117"/>
    </row>
    <row r="157" spans="2:2">
      <c r="B157" s="117"/>
    </row>
    <row r="158" spans="2:2">
      <c r="B158" s="117"/>
    </row>
    <row r="159" spans="2:2">
      <c r="B159" s="117"/>
    </row>
    <row r="160" spans="2:2">
      <c r="B160" s="117"/>
    </row>
    <row r="161" spans="2:2">
      <c r="B161" s="117"/>
    </row>
    <row r="162" spans="2:2">
      <c r="B162" s="117"/>
    </row>
    <row r="163" spans="2:2">
      <c r="B163" s="117"/>
    </row>
    <row r="164" spans="2:2">
      <c r="B164" s="117"/>
    </row>
    <row r="165" spans="2:2">
      <c r="B165" s="117"/>
    </row>
    <row r="166" spans="2:2">
      <c r="B166" s="117"/>
    </row>
    <row r="167" spans="2:2">
      <c r="B167" s="117"/>
    </row>
    <row r="168" spans="2:2">
      <c r="B168" s="117"/>
    </row>
    <row r="169" spans="2:2">
      <c r="B169" s="117"/>
    </row>
    <row r="170" spans="2:2">
      <c r="B170" s="117"/>
    </row>
    <row r="171" spans="2:2">
      <c r="B171" s="117"/>
    </row>
    <row r="172" spans="2:2">
      <c r="B172" s="117"/>
    </row>
    <row r="173" spans="2:2">
      <c r="B173" s="117"/>
    </row>
    <row r="174" spans="2:2">
      <c r="B174" s="117"/>
    </row>
    <row r="175" spans="2:2">
      <c r="B175" s="117"/>
    </row>
    <row r="176" spans="2:2">
      <c r="B176" s="117"/>
    </row>
    <row r="177" spans="2:2">
      <c r="B177" s="117"/>
    </row>
    <row r="178" spans="2:2">
      <c r="B178" s="117"/>
    </row>
    <row r="179" spans="2:2">
      <c r="B179" s="117"/>
    </row>
    <row r="180" spans="2:2">
      <c r="B180" s="117"/>
    </row>
    <row r="181" spans="2:2">
      <c r="B181" s="117"/>
    </row>
    <row r="182" spans="2:2">
      <c r="B182" s="117"/>
    </row>
    <row r="183" spans="2:2">
      <c r="B183" s="117"/>
    </row>
    <row r="184" spans="2:2">
      <c r="B184" s="117"/>
    </row>
    <row r="185" spans="2:2">
      <c r="B185" s="117"/>
    </row>
    <row r="186" spans="2:2">
      <c r="B186" s="117"/>
    </row>
    <row r="187" spans="2:2">
      <c r="B187" s="117"/>
    </row>
    <row r="188" spans="2:2">
      <c r="B188" s="117"/>
    </row>
    <row r="189" spans="2:2">
      <c r="B189" s="117"/>
    </row>
    <row r="190" spans="2:2">
      <c r="B190" s="117"/>
    </row>
    <row r="191" spans="2:2">
      <c r="B191" s="117"/>
    </row>
    <row r="192" spans="2:2">
      <c r="B192" s="117"/>
    </row>
    <row r="193" spans="2:2">
      <c r="B193" s="117"/>
    </row>
    <row r="194" spans="2:2">
      <c r="B194" s="117"/>
    </row>
    <row r="195" spans="2:2">
      <c r="B195" s="117"/>
    </row>
    <row r="196" spans="2:2">
      <c r="B196" s="117"/>
    </row>
    <row r="197" spans="2:2">
      <c r="B197" s="117"/>
    </row>
    <row r="198" spans="2:2">
      <c r="B198" s="117"/>
    </row>
    <row r="199" spans="2:2">
      <c r="B199" s="117"/>
    </row>
    <row r="200" spans="2:2">
      <c r="B200" s="117"/>
    </row>
    <row r="201" spans="2:2">
      <c r="B201" s="117"/>
    </row>
    <row r="202" spans="2:2">
      <c r="B202" s="117"/>
    </row>
    <row r="203" spans="2:2">
      <c r="B203" s="117"/>
    </row>
    <row r="204" spans="2:2">
      <c r="B204" s="117"/>
    </row>
    <row r="205" spans="2:2">
      <c r="B205" s="117"/>
    </row>
    <row r="206" spans="2:2">
      <c r="B206" s="117"/>
    </row>
    <row r="207" spans="2:2">
      <c r="B207" s="117"/>
    </row>
    <row r="208" spans="2:2">
      <c r="B208" s="117"/>
    </row>
    <row r="209" spans="2:2">
      <c r="B209" s="117"/>
    </row>
    <row r="210" spans="2:2">
      <c r="B210" s="117"/>
    </row>
    <row r="211" spans="2:2">
      <c r="B211" s="117"/>
    </row>
    <row r="212" spans="2:2">
      <c r="B212" s="117"/>
    </row>
    <row r="213" spans="2:2">
      <c r="B213" s="117"/>
    </row>
    <row r="214" spans="2:2">
      <c r="B214" s="117"/>
    </row>
    <row r="215" spans="2:2">
      <c r="B215" s="117"/>
    </row>
    <row r="216" spans="2:2">
      <c r="B216" s="117"/>
    </row>
    <row r="217" spans="2:2">
      <c r="B217" s="117"/>
    </row>
    <row r="218" spans="2:2">
      <c r="B218" s="117"/>
    </row>
    <row r="219" spans="2:2">
      <c r="B219" s="117"/>
    </row>
    <row r="220" spans="2:2">
      <c r="B220" s="117"/>
    </row>
    <row r="221" spans="2:2">
      <c r="B221" s="117"/>
    </row>
    <row r="222" spans="2:2">
      <c r="B222" s="117"/>
    </row>
    <row r="223" spans="2:2">
      <c r="B223" s="117"/>
    </row>
    <row r="224" spans="2:2">
      <c r="B224" s="117"/>
    </row>
    <row r="225" spans="2:2">
      <c r="B225" s="117"/>
    </row>
    <row r="226" spans="2:2">
      <c r="B226" s="117"/>
    </row>
    <row r="227" spans="2:2">
      <c r="B227" s="117"/>
    </row>
    <row r="228" spans="2:2">
      <c r="B228" s="117"/>
    </row>
    <row r="229" spans="2:2">
      <c r="B229" s="117"/>
    </row>
    <row r="230" spans="2:2">
      <c r="B230" s="117"/>
    </row>
    <row r="231" spans="2:2">
      <c r="B231" s="117"/>
    </row>
    <row r="232" spans="2:2">
      <c r="B232" s="117"/>
    </row>
    <row r="233" spans="2:2">
      <c r="B233" s="117"/>
    </row>
    <row r="234" spans="2:2">
      <c r="B234" s="117"/>
    </row>
    <row r="235" spans="2:2">
      <c r="B235" s="117"/>
    </row>
    <row r="236" spans="2:2">
      <c r="B236" s="117"/>
    </row>
    <row r="237" spans="2:2">
      <c r="B237" s="117"/>
    </row>
    <row r="238" spans="2:2">
      <c r="B238" s="117"/>
    </row>
    <row r="239" spans="2:2">
      <c r="B239" s="117"/>
    </row>
    <row r="240" spans="2:2">
      <c r="B240" s="117"/>
    </row>
    <row r="241" spans="2:2">
      <c r="B241" s="117"/>
    </row>
    <row r="242" spans="2:2">
      <c r="B242" s="117"/>
    </row>
    <row r="243" spans="2:2">
      <c r="B243" s="117"/>
    </row>
    <row r="244" spans="2:2">
      <c r="B244" s="117"/>
    </row>
    <row r="245" spans="2:2">
      <c r="B245" s="117"/>
    </row>
    <row r="246" spans="2:2">
      <c r="B246" s="117"/>
    </row>
    <row r="247" spans="2:2">
      <c r="B247" s="117"/>
    </row>
    <row r="248" spans="2:2">
      <c r="B248" s="117"/>
    </row>
    <row r="249" spans="2:2">
      <c r="B249" s="117"/>
    </row>
    <row r="250" spans="2:2">
      <c r="B250" s="117"/>
    </row>
    <row r="251" spans="2:2">
      <c r="B251" s="117"/>
    </row>
    <row r="252" spans="2:2">
      <c r="B252" s="117"/>
    </row>
    <row r="253" spans="2:2">
      <c r="B253" s="117"/>
    </row>
    <row r="254" spans="2:2">
      <c r="B254" s="117"/>
    </row>
    <row r="255" spans="2:2">
      <c r="B255" s="117"/>
    </row>
    <row r="256" spans="2:2">
      <c r="B256" s="117"/>
    </row>
    <row r="257" spans="2:2">
      <c r="B257" s="117"/>
    </row>
    <row r="258" spans="2:2">
      <c r="B258" s="117"/>
    </row>
    <row r="259" spans="2:2">
      <c r="B259" s="117"/>
    </row>
    <row r="260" spans="2:2">
      <c r="B260" s="117"/>
    </row>
    <row r="261" spans="2:2">
      <c r="B261" s="117"/>
    </row>
    <row r="262" spans="2:2">
      <c r="B262" s="117"/>
    </row>
    <row r="263" spans="2:2">
      <c r="B263" s="117"/>
    </row>
    <row r="264" spans="2:2">
      <c r="B264" s="117"/>
    </row>
    <row r="265" spans="2:2">
      <c r="B265" s="117"/>
    </row>
    <row r="266" spans="2:2">
      <c r="B266" s="117"/>
    </row>
    <row r="267" spans="2:2">
      <c r="B267" s="117"/>
    </row>
    <row r="268" spans="2:2">
      <c r="B268" s="117"/>
    </row>
    <row r="269" spans="2:2">
      <c r="B269" s="117"/>
    </row>
    <row r="270" spans="2:2">
      <c r="B270" s="117"/>
    </row>
    <row r="271" spans="2:2">
      <c r="B271" s="117"/>
    </row>
    <row r="272" spans="2:2">
      <c r="B272" s="117"/>
    </row>
    <row r="273" spans="2:2">
      <c r="B273" s="117"/>
    </row>
    <row r="274" spans="2:2">
      <c r="B274" s="117"/>
    </row>
    <row r="275" spans="2:2">
      <c r="B275" s="117"/>
    </row>
    <row r="276" spans="2:2">
      <c r="B276" s="117"/>
    </row>
    <row r="277" spans="2:2">
      <c r="B277" s="117"/>
    </row>
    <row r="278" spans="2:2">
      <c r="B278" s="117"/>
    </row>
    <row r="279" spans="2:2">
      <c r="B279" s="117"/>
    </row>
    <row r="280" spans="2:2">
      <c r="B280" s="117"/>
    </row>
    <row r="281" spans="2:2">
      <c r="B281" s="117"/>
    </row>
    <row r="282" spans="2:2">
      <c r="B282" s="117"/>
    </row>
    <row r="283" spans="2:2">
      <c r="B283" s="117"/>
    </row>
    <row r="284" spans="2:2">
      <c r="B284" s="117"/>
    </row>
    <row r="285" spans="2:2">
      <c r="B285" s="117"/>
    </row>
    <row r="286" spans="2:2">
      <c r="B286" s="117"/>
    </row>
    <row r="287" spans="2:2">
      <c r="B287" s="117"/>
    </row>
    <row r="288" spans="2:2">
      <c r="B288" s="117"/>
    </row>
    <row r="289" spans="2:2">
      <c r="B289" s="117"/>
    </row>
    <row r="290" spans="2:2">
      <c r="B290" s="117"/>
    </row>
    <row r="291" spans="2:2">
      <c r="B291" s="117"/>
    </row>
    <row r="292" spans="2:2">
      <c r="B292" s="117"/>
    </row>
    <row r="293" spans="2:2">
      <c r="B293" s="117"/>
    </row>
    <row r="294" spans="2:2">
      <c r="B294" s="117"/>
    </row>
    <row r="295" spans="2:2">
      <c r="B295" s="117"/>
    </row>
    <row r="296" spans="2:2">
      <c r="B296" s="117"/>
    </row>
    <row r="297" spans="2:2">
      <c r="B297" s="117"/>
    </row>
    <row r="298" spans="2:2">
      <c r="B298" s="117"/>
    </row>
    <row r="299" spans="2:2">
      <c r="B299" s="117"/>
    </row>
    <row r="300" spans="2:2">
      <c r="B300" s="117"/>
    </row>
    <row r="301" spans="2:2">
      <c r="B301" s="117"/>
    </row>
    <row r="302" spans="2:2">
      <c r="B302" s="117"/>
    </row>
    <row r="303" spans="2:2">
      <c r="B303" s="117"/>
    </row>
    <row r="304" spans="2:2">
      <c r="B304" s="117"/>
    </row>
    <row r="305" spans="2:2">
      <c r="B305" s="117"/>
    </row>
    <row r="306" spans="2:2">
      <c r="B306" s="117"/>
    </row>
    <row r="307" spans="2:2">
      <c r="B307" s="117"/>
    </row>
    <row r="308" spans="2:2">
      <c r="B308" s="117"/>
    </row>
    <row r="309" spans="2:2">
      <c r="B309" s="117"/>
    </row>
    <row r="310" spans="2:2">
      <c r="B310" s="117"/>
    </row>
    <row r="311" spans="2:2">
      <c r="B311" s="117"/>
    </row>
    <row r="312" spans="2:2">
      <c r="B312" s="117"/>
    </row>
    <row r="313" spans="2:2">
      <c r="B313" s="117"/>
    </row>
    <row r="314" spans="2:2">
      <c r="B314" s="117"/>
    </row>
    <row r="315" spans="2:2">
      <c r="B315" s="117"/>
    </row>
    <row r="316" spans="2:2">
      <c r="B316" s="117"/>
    </row>
    <row r="317" spans="2:2">
      <c r="B317" s="117"/>
    </row>
    <row r="318" spans="2:2">
      <c r="B318" s="117"/>
    </row>
    <row r="319" spans="2:2">
      <c r="B319" s="117"/>
    </row>
    <row r="320" spans="2:2">
      <c r="B320" s="117"/>
    </row>
    <row r="321" spans="2:2">
      <c r="B321" s="117"/>
    </row>
    <row r="322" spans="2:2">
      <c r="B322" s="117"/>
    </row>
    <row r="323" spans="2:2">
      <c r="B323" s="117"/>
    </row>
    <row r="324" spans="2:2">
      <c r="B324" s="117"/>
    </row>
    <row r="325" spans="2:2">
      <c r="B325" s="117"/>
    </row>
    <row r="326" spans="2:2">
      <c r="B326" s="117"/>
    </row>
    <row r="327" spans="2:2">
      <c r="B327" s="117"/>
    </row>
    <row r="328" spans="2:2">
      <c r="B328" s="117"/>
    </row>
    <row r="329" spans="2:2">
      <c r="B329" s="117"/>
    </row>
    <row r="330" spans="2:2">
      <c r="B330" s="117"/>
    </row>
    <row r="331" spans="2:2">
      <c r="B331" s="117"/>
    </row>
    <row r="332" spans="2:2">
      <c r="B332" s="117"/>
    </row>
    <row r="333" spans="2:2">
      <c r="B333" s="117"/>
    </row>
    <row r="334" spans="2:2">
      <c r="B334" s="117"/>
    </row>
    <row r="335" spans="2:2">
      <c r="B335" s="117"/>
    </row>
    <row r="336" spans="2:2">
      <c r="B336" s="117"/>
    </row>
    <row r="337" spans="2:2">
      <c r="B337" s="117"/>
    </row>
    <row r="338" spans="2:2">
      <c r="B338" s="117"/>
    </row>
    <row r="339" spans="2:2">
      <c r="B339" s="117"/>
    </row>
    <row r="340" spans="2:2">
      <c r="B340" s="117"/>
    </row>
    <row r="341" spans="2:2">
      <c r="B341" s="117"/>
    </row>
    <row r="342" spans="2:2">
      <c r="B342" s="117"/>
    </row>
    <row r="343" spans="2:2">
      <c r="B343" s="117"/>
    </row>
    <row r="344" spans="2:2">
      <c r="B344" s="117"/>
    </row>
    <row r="345" spans="2:2">
      <c r="B345" s="117"/>
    </row>
    <row r="346" spans="2:2">
      <c r="B346" s="117"/>
    </row>
    <row r="347" spans="2:2">
      <c r="B347" s="117"/>
    </row>
    <row r="348" spans="2:2">
      <c r="B348" s="117"/>
    </row>
    <row r="349" spans="2:2">
      <c r="B349" s="117"/>
    </row>
    <row r="350" spans="2:2">
      <c r="B350" s="117"/>
    </row>
    <row r="351" spans="2:2">
      <c r="B351" s="117"/>
    </row>
    <row r="352" spans="2:2">
      <c r="B352" s="117"/>
    </row>
    <row r="353" spans="2:2">
      <c r="B353" s="117"/>
    </row>
    <row r="354" spans="2:2">
      <c r="B354" s="117"/>
    </row>
    <row r="355" spans="2:2">
      <c r="B355" s="117"/>
    </row>
    <row r="356" spans="2:2">
      <c r="B356" s="117"/>
    </row>
    <row r="357" spans="2:2">
      <c r="B357" s="117"/>
    </row>
    <row r="358" spans="2:2">
      <c r="B358" s="117"/>
    </row>
    <row r="359" spans="2:2">
      <c r="B359" s="117"/>
    </row>
    <row r="360" spans="2:2">
      <c r="B360" s="117"/>
    </row>
    <row r="361" spans="2:2">
      <c r="B361" s="117"/>
    </row>
    <row r="362" spans="2:2">
      <c r="B362" s="117"/>
    </row>
    <row r="363" spans="2:2">
      <c r="B363" s="117"/>
    </row>
    <row r="364" spans="2:2">
      <c r="B364" s="117"/>
    </row>
    <row r="365" spans="2:2">
      <c r="B365" s="117"/>
    </row>
    <row r="366" spans="2:2">
      <c r="B366" s="117"/>
    </row>
    <row r="367" spans="2:2">
      <c r="B367" s="117"/>
    </row>
    <row r="368" spans="2:2">
      <c r="B368" s="117"/>
    </row>
    <row r="369" spans="2:2">
      <c r="B369" s="117"/>
    </row>
    <row r="370" spans="2:2">
      <c r="B370" s="117"/>
    </row>
    <row r="371" spans="2:2">
      <c r="B371" s="117"/>
    </row>
    <row r="372" spans="2:2">
      <c r="B372" s="117"/>
    </row>
    <row r="373" spans="2:2">
      <c r="B373" s="117"/>
    </row>
    <row r="374" spans="2:2">
      <c r="B374" s="117"/>
    </row>
    <row r="375" spans="2:2">
      <c r="B375" s="117"/>
    </row>
    <row r="376" spans="2:2">
      <c r="B376" s="117"/>
    </row>
    <row r="377" spans="2:2">
      <c r="B377" s="117"/>
    </row>
    <row r="378" spans="2:2">
      <c r="B378" s="117"/>
    </row>
    <row r="379" spans="2:2">
      <c r="B379" s="117"/>
    </row>
    <row r="380" spans="2:2">
      <c r="B380" s="117"/>
    </row>
    <row r="381" spans="2:2">
      <c r="B381" s="117"/>
    </row>
    <row r="382" spans="2:2">
      <c r="B382" s="117"/>
    </row>
    <row r="383" spans="2:2">
      <c r="B383" s="117"/>
    </row>
    <row r="384" spans="2:2">
      <c r="B384" s="117"/>
    </row>
    <row r="385" spans="2:2">
      <c r="B385" s="117"/>
    </row>
    <row r="386" spans="2:2">
      <c r="B386" s="117"/>
    </row>
    <row r="387" spans="2:2">
      <c r="B387" s="117"/>
    </row>
    <row r="388" spans="2:2">
      <c r="B388" s="117"/>
    </row>
    <row r="389" spans="2:2">
      <c r="B389" s="117"/>
    </row>
    <row r="390" spans="2:2">
      <c r="B390" s="117"/>
    </row>
    <row r="391" spans="2:2">
      <c r="B391" s="117"/>
    </row>
    <row r="392" spans="2:2">
      <c r="B392" s="117"/>
    </row>
    <row r="393" spans="2:2">
      <c r="B393" s="117"/>
    </row>
    <row r="394" spans="2:2">
      <c r="B394" s="117"/>
    </row>
    <row r="395" spans="2:2">
      <c r="B395" s="117"/>
    </row>
    <row r="396" spans="2:2">
      <c r="B396" s="117"/>
    </row>
    <row r="397" spans="2:2">
      <c r="B397" s="117"/>
    </row>
    <row r="398" spans="2:2">
      <c r="B398" s="117"/>
    </row>
    <row r="399" spans="2:2">
      <c r="B399" s="117"/>
    </row>
    <row r="400" spans="2:2">
      <c r="B400" s="117"/>
    </row>
    <row r="401" spans="2:2">
      <c r="B401" s="117"/>
    </row>
    <row r="402" spans="2:2">
      <c r="B402" s="117"/>
    </row>
    <row r="403" spans="2:2">
      <c r="B403" s="117"/>
    </row>
    <row r="404" spans="2:2">
      <c r="B404" s="117"/>
    </row>
    <row r="405" spans="2:2">
      <c r="B405" s="117"/>
    </row>
    <row r="406" spans="2:2">
      <c r="B406" s="117"/>
    </row>
    <row r="407" spans="2:2">
      <c r="B407" s="117"/>
    </row>
    <row r="408" spans="2:2">
      <c r="B408" s="117"/>
    </row>
    <row r="409" spans="2:2">
      <c r="B409" s="117"/>
    </row>
    <row r="410" spans="2:2">
      <c r="B410" s="117"/>
    </row>
    <row r="411" spans="2:2">
      <c r="B411" s="117"/>
    </row>
    <row r="412" spans="2:2">
      <c r="B412" s="117"/>
    </row>
    <row r="413" spans="2:2">
      <c r="B413" s="117"/>
    </row>
    <row r="414" spans="2:2">
      <c r="B414" s="117"/>
    </row>
    <row r="415" spans="2:2">
      <c r="B415" s="117"/>
    </row>
    <row r="416" spans="2:2">
      <c r="B416" s="117"/>
    </row>
    <row r="417" spans="2:2">
      <c r="B417" s="117"/>
    </row>
    <row r="418" spans="2:2">
      <c r="B418" s="117"/>
    </row>
    <row r="419" spans="2:2">
      <c r="B419" s="117"/>
    </row>
    <row r="420" spans="2:2">
      <c r="B420" s="117"/>
    </row>
    <row r="421" spans="2:2">
      <c r="B421" s="117"/>
    </row>
    <row r="422" spans="2:2">
      <c r="B422" s="117"/>
    </row>
    <row r="423" spans="2:2">
      <c r="B423" s="117"/>
    </row>
    <row r="424" spans="2:2">
      <c r="B424" s="117"/>
    </row>
    <row r="425" spans="2:2">
      <c r="B425" s="117"/>
    </row>
    <row r="426" spans="2:2">
      <c r="B426" s="117"/>
    </row>
    <row r="427" spans="2:2">
      <c r="B427" s="117"/>
    </row>
    <row r="428" spans="2:2">
      <c r="B428" s="117"/>
    </row>
    <row r="429" spans="2:2">
      <c r="B429" s="117"/>
    </row>
    <row r="430" spans="2:2">
      <c r="B430" s="117"/>
    </row>
    <row r="431" spans="2:2">
      <c r="B431" s="117"/>
    </row>
    <row r="432" spans="2:2">
      <c r="B432" s="117"/>
    </row>
    <row r="433" spans="2:2">
      <c r="B433" s="117"/>
    </row>
    <row r="434" spans="2:2">
      <c r="B434" s="117"/>
    </row>
    <row r="435" spans="2:2">
      <c r="B435" s="117"/>
    </row>
    <row r="436" spans="2:2">
      <c r="B436" s="117"/>
    </row>
    <row r="437" spans="2:2">
      <c r="B437" s="117"/>
    </row>
    <row r="438" spans="2:2">
      <c r="B438" s="117"/>
    </row>
    <row r="439" spans="2:2">
      <c r="B439" s="117"/>
    </row>
    <row r="440" spans="2:2">
      <c r="B440" s="117"/>
    </row>
    <row r="441" spans="2:2">
      <c r="B441" s="117"/>
    </row>
    <row r="442" spans="2:2">
      <c r="B442" s="117"/>
    </row>
    <row r="443" spans="2:2">
      <c r="B443" s="117"/>
    </row>
    <row r="444" spans="2:2">
      <c r="B444" s="117"/>
    </row>
    <row r="445" spans="2:2">
      <c r="B445" s="117"/>
    </row>
    <row r="446" spans="2:2">
      <c r="B446" s="117"/>
    </row>
    <row r="447" spans="2:2">
      <c r="B447" s="117"/>
    </row>
    <row r="448" spans="2:2">
      <c r="B448" s="117"/>
    </row>
    <row r="449" spans="2:2">
      <c r="B449" s="117"/>
    </row>
    <row r="450" spans="2:2">
      <c r="B450" s="117"/>
    </row>
    <row r="451" spans="2:2">
      <c r="B451" s="117"/>
    </row>
    <row r="452" spans="2:2">
      <c r="B452" s="117"/>
    </row>
    <row r="453" spans="2:2">
      <c r="B453" s="117"/>
    </row>
    <row r="454" spans="2:2">
      <c r="B454" s="117"/>
    </row>
    <row r="455" spans="2:2">
      <c r="B455" s="117"/>
    </row>
    <row r="456" spans="2:2">
      <c r="B456" s="117"/>
    </row>
    <row r="457" spans="2:2">
      <c r="B457" s="117"/>
    </row>
    <row r="458" spans="2:2">
      <c r="B458" s="117"/>
    </row>
    <row r="459" spans="2:2">
      <c r="B459" s="117"/>
    </row>
    <row r="460" spans="2:2">
      <c r="B460" s="117"/>
    </row>
    <row r="461" spans="2:2">
      <c r="B461" s="117"/>
    </row>
    <row r="462" spans="2:2">
      <c r="B462" s="117"/>
    </row>
    <row r="463" spans="2:2">
      <c r="B463" s="117"/>
    </row>
    <row r="464" spans="2:2">
      <c r="B464" s="117"/>
    </row>
    <row r="465" spans="2:2">
      <c r="B465" s="117"/>
    </row>
    <row r="466" spans="2:2">
      <c r="B466" s="117"/>
    </row>
    <row r="467" spans="2:2">
      <c r="B467" s="117"/>
    </row>
    <row r="468" spans="2:2">
      <c r="B468" s="117"/>
    </row>
    <row r="469" spans="2:2">
      <c r="B469" s="117"/>
    </row>
    <row r="470" spans="2:2">
      <c r="B470" s="117"/>
    </row>
    <row r="471" spans="2:2">
      <c r="B471" s="117"/>
    </row>
    <row r="472" spans="2:2">
      <c r="B472" s="117"/>
    </row>
    <row r="473" spans="2:2">
      <c r="B473" s="117"/>
    </row>
    <row r="474" spans="2:2">
      <c r="B474" s="117"/>
    </row>
    <row r="475" spans="2:2">
      <c r="B475" s="117"/>
    </row>
    <row r="476" spans="2:2">
      <c r="B476" s="117"/>
    </row>
    <row r="477" spans="2:2">
      <c r="B477" s="117"/>
    </row>
    <row r="478" spans="2:2">
      <c r="B478" s="117"/>
    </row>
    <row r="479" spans="2:2">
      <c r="B479" s="117"/>
    </row>
    <row r="480" spans="2:2">
      <c r="B480" s="117"/>
    </row>
    <row r="481" spans="2:2">
      <c r="B481" s="117"/>
    </row>
    <row r="482" spans="2:2">
      <c r="B482" s="117"/>
    </row>
    <row r="483" spans="2:2">
      <c r="B483" s="117"/>
    </row>
    <row r="484" spans="2:2">
      <c r="B484" s="117"/>
    </row>
    <row r="485" spans="2:2">
      <c r="B485" s="117"/>
    </row>
    <row r="486" spans="2:2">
      <c r="B486" s="117"/>
    </row>
    <row r="487" spans="2:2">
      <c r="B487" s="117"/>
    </row>
    <row r="488" spans="2:2">
      <c r="B488" s="117"/>
    </row>
    <row r="489" spans="2:2">
      <c r="B489" s="117"/>
    </row>
    <row r="490" spans="2:2">
      <c r="B490" s="117"/>
    </row>
    <row r="491" spans="2:2">
      <c r="B491" s="117"/>
    </row>
    <row r="492" spans="2:2">
      <c r="B492" s="117"/>
    </row>
    <row r="493" spans="2:2">
      <c r="B493" s="117"/>
    </row>
    <row r="494" spans="2:2">
      <c r="B494" s="117"/>
    </row>
    <row r="495" spans="2:2">
      <c r="B495" s="117"/>
    </row>
    <row r="496" spans="2:2">
      <c r="B496" s="117"/>
    </row>
    <row r="497" spans="2:2">
      <c r="B497" s="117"/>
    </row>
    <row r="498" spans="2:2">
      <c r="B498" s="117"/>
    </row>
    <row r="499" spans="2:2">
      <c r="B499" s="117"/>
    </row>
    <row r="500" spans="2:2">
      <c r="B500" s="117"/>
    </row>
    <row r="501" spans="2:2">
      <c r="B501" s="117"/>
    </row>
    <row r="502" spans="2:2">
      <c r="B502" s="117"/>
    </row>
    <row r="503" spans="2:2">
      <c r="B503" s="117"/>
    </row>
    <row r="504" spans="2:2">
      <c r="B504" s="117"/>
    </row>
    <row r="505" spans="2:2">
      <c r="B505" s="117"/>
    </row>
    <row r="506" spans="2:2">
      <c r="B506" s="117"/>
    </row>
    <row r="507" spans="2:2">
      <c r="B507" s="117"/>
    </row>
    <row r="508" spans="2:2">
      <c r="B508" s="117"/>
    </row>
    <row r="509" spans="2:2">
      <c r="B509" s="117"/>
    </row>
    <row r="510" spans="2:2">
      <c r="B510" s="117"/>
    </row>
    <row r="511" spans="2:2">
      <c r="B511" s="117"/>
    </row>
    <row r="512" spans="2:2">
      <c r="B512" s="117"/>
    </row>
    <row r="513" spans="2:2">
      <c r="B513" s="117"/>
    </row>
    <row r="514" spans="2:2">
      <c r="B514" s="117"/>
    </row>
    <row r="515" spans="2:2">
      <c r="B515" s="117"/>
    </row>
    <row r="516" spans="2:2">
      <c r="B516" s="117"/>
    </row>
    <row r="517" spans="2:2">
      <c r="B517" s="117"/>
    </row>
    <row r="518" spans="2:2">
      <c r="B518" s="117"/>
    </row>
    <row r="519" spans="2:2">
      <c r="B519" s="117"/>
    </row>
    <row r="520" spans="2:2">
      <c r="B520" s="117"/>
    </row>
    <row r="521" spans="2:2">
      <c r="B521" s="117"/>
    </row>
    <row r="522" spans="2:2">
      <c r="B522" s="117"/>
    </row>
    <row r="523" spans="2:2">
      <c r="B523" s="117"/>
    </row>
    <row r="524" spans="2:2">
      <c r="B524" s="117"/>
    </row>
    <row r="525" spans="2:2">
      <c r="B525" s="117"/>
    </row>
    <row r="526" spans="2:2">
      <c r="B526" s="117"/>
    </row>
    <row r="527" spans="2:2">
      <c r="B527" s="117"/>
    </row>
    <row r="528" spans="2:2">
      <c r="B528" s="117"/>
    </row>
    <row r="529" spans="2:2">
      <c r="B529" s="117"/>
    </row>
    <row r="530" spans="2:2">
      <c r="B530" s="117"/>
    </row>
    <row r="531" spans="2:2">
      <c r="B531" s="117"/>
    </row>
    <row r="532" spans="2:2">
      <c r="B532" s="117"/>
    </row>
    <row r="533" spans="2:2">
      <c r="B533" s="117"/>
    </row>
    <row r="534" spans="2:2">
      <c r="B534" s="117"/>
    </row>
    <row r="535" spans="2:2">
      <c r="B535" s="117"/>
    </row>
    <row r="536" spans="2:2">
      <c r="B536" s="117"/>
    </row>
    <row r="537" spans="2:2">
      <c r="B537" s="117"/>
    </row>
    <row r="538" spans="2:2">
      <c r="B538" s="117"/>
    </row>
    <row r="539" spans="2:2">
      <c r="B539" s="117"/>
    </row>
    <row r="540" spans="2:2">
      <c r="B540" s="117"/>
    </row>
    <row r="541" spans="2:2">
      <c r="B541" s="117"/>
    </row>
    <row r="542" spans="2:2">
      <c r="B542" s="117"/>
    </row>
    <row r="543" spans="2:2">
      <c r="B543" s="117"/>
    </row>
    <row r="544" spans="2:2">
      <c r="B544" s="117"/>
    </row>
    <row r="545" spans="2:2">
      <c r="B545" s="117"/>
    </row>
    <row r="546" spans="2:2">
      <c r="B546" s="117"/>
    </row>
    <row r="547" spans="2:2">
      <c r="B547" s="117"/>
    </row>
    <row r="548" spans="2:2">
      <c r="B548" s="117"/>
    </row>
    <row r="549" spans="2:2">
      <c r="B549" s="117"/>
    </row>
    <row r="550" spans="2:2">
      <c r="B550" s="117"/>
    </row>
    <row r="551" spans="2:2">
      <c r="B551" s="117"/>
    </row>
    <row r="552" spans="2:2">
      <c r="B552" s="117"/>
    </row>
    <row r="553" spans="2:2">
      <c r="B553" s="117"/>
    </row>
    <row r="554" spans="2:2">
      <c r="B554" s="117"/>
    </row>
    <row r="555" spans="2:2">
      <c r="B555" s="117"/>
    </row>
    <row r="556" spans="2:2">
      <c r="B556" s="117"/>
    </row>
    <row r="557" spans="2:2">
      <c r="B557" s="117"/>
    </row>
    <row r="558" spans="2:2">
      <c r="B558" s="117"/>
    </row>
    <row r="559" spans="2:2">
      <c r="B559" s="117"/>
    </row>
    <row r="560" spans="2:2">
      <c r="B560" s="117"/>
    </row>
    <row r="561" spans="2:2">
      <c r="B561" s="117"/>
    </row>
    <row r="562" spans="2:2">
      <c r="B562" s="117"/>
    </row>
    <row r="563" spans="2:2">
      <c r="B563" s="117"/>
    </row>
    <row r="564" spans="2:2">
      <c r="B564" s="117"/>
    </row>
    <row r="565" spans="2:2">
      <c r="B565" s="117"/>
    </row>
    <row r="566" spans="2:2">
      <c r="B566" s="117"/>
    </row>
    <row r="567" spans="2:2">
      <c r="B567" s="117"/>
    </row>
    <row r="568" spans="2:2">
      <c r="B568" s="117"/>
    </row>
    <row r="569" spans="2:2">
      <c r="B569" s="117"/>
    </row>
    <row r="570" spans="2:2">
      <c r="B570" s="117"/>
    </row>
    <row r="571" spans="2:2">
      <c r="B571" s="117"/>
    </row>
    <row r="572" spans="2:2">
      <c r="B572" s="117"/>
    </row>
    <row r="573" spans="2:2">
      <c r="B573" s="117"/>
    </row>
    <row r="574" spans="2:2">
      <c r="B574" s="117"/>
    </row>
    <row r="575" spans="2:2">
      <c r="B575" s="117"/>
    </row>
    <row r="576" spans="2:2">
      <c r="B576" s="117"/>
    </row>
    <row r="577" spans="2:2">
      <c r="B577" s="117"/>
    </row>
    <row r="578" spans="2:2">
      <c r="B578" s="117"/>
    </row>
    <row r="579" spans="2:2">
      <c r="B579" s="117"/>
    </row>
    <row r="580" spans="2:2">
      <c r="B580" s="117"/>
    </row>
    <row r="581" spans="2:2">
      <c r="B581" s="117"/>
    </row>
    <row r="582" spans="2:2">
      <c r="B582" s="117"/>
    </row>
    <row r="583" spans="2:2">
      <c r="B583" s="117"/>
    </row>
    <row r="584" spans="2:2">
      <c r="B584" s="117"/>
    </row>
    <row r="585" spans="2:2">
      <c r="B585" s="117"/>
    </row>
    <row r="586" spans="2:2">
      <c r="B586" s="117"/>
    </row>
    <row r="587" spans="2:2">
      <c r="B587" s="117"/>
    </row>
    <row r="588" spans="2:2">
      <c r="B588" s="117"/>
    </row>
    <row r="589" spans="2:2">
      <c r="B589" s="117"/>
    </row>
    <row r="590" spans="2:2">
      <c r="B590" s="117"/>
    </row>
    <row r="591" spans="2:2">
      <c r="B591" s="117"/>
    </row>
    <row r="592" spans="2:2">
      <c r="B592" s="117"/>
    </row>
    <row r="593" spans="2:2">
      <c r="B593" s="117"/>
    </row>
    <row r="594" spans="2:2">
      <c r="B594" s="117"/>
    </row>
    <row r="595" spans="2:2">
      <c r="B595" s="117"/>
    </row>
    <row r="596" spans="2:2">
      <c r="B596" s="117"/>
    </row>
    <row r="597" spans="2:2">
      <c r="B597" s="117"/>
    </row>
    <row r="598" spans="2:2">
      <c r="B598" s="117"/>
    </row>
    <row r="599" spans="2:2">
      <c r="B599" s="117"/>
    </row>
    <row r="600" spans="2:2">
      <c r="B600" s="117"/>
    </row>
    <row r="601" spans="2:2">
      <c r="B601" s="117"/>
    </row>
    <row r="602" spans="2:2">
      <c r="B602" s="117"/>
    </row>
    <row r="603" spans="2:2">
      <c r="B603" s="117"/>
    </row>
    <row r="604" spans="2:2">
      <c r="B604" s="117"/>
    </row>
    <row r="605" spans="2:2">
      <c r="B605" s="117"/>
    </row>
    <row r="606" spans="2:2">
      <c r="B606" s="117"/>
    </row>
    <row r="607" spans="2:2">
      <c r="B607" s="117"/>
    </row>
    <row r="608" spans="2:2">
      <c r="B608" s="117"/>
    </row>
    <row r="609" spans="2:2">
      <c r="B609" s="117"/>
    </row>
    <row r="610" spans="2:2">
      <c r="B610" s="117"/>
    </row>
    <row r="611" spans="2:2">
      <c r="B611" s="117"/>
    </row>
    <row r="612" spans="2:2">
      <c r="B612" s="117"/>
    </row>
    <row r="613" spans="2:2">
      <c r="B613" s="117"/>
    </row>
    <row r="614" spans="2:2">
      <c r="B614" s="117"/>
    </row>
    <row r="615" spans="2:2">
      <c r="B615" s="117"/>
    </row>
    <row r="616" spans="2:2">
      <c r="B616" s="117"/>
    </row>
    <row r="617" spans="2:2">
      <c r="B617" s="117"/>
    </row>
    <row r="618" spans="2:2">
      <c r="B618" s="117"/>
    </row>
    <row r="619" spans="2:2">
      <c r="B619" s="117"/>
    </row>
    <row r="620" spans="2:2">
      <c r="B620" s="117"/>
    </row>
    <row r="621" spans="2:2">
      <c r="B621" s="117"/>
    </row>
    <row r="622" spans="2:2">
      <c r="B622" s="117"/>
    </row>
    <row r="623" spans="2:2">
      <c r="B623" s="117"/>
    </row>
    <row r="624" spans="2:2">
      <c r="B624" s="117"/>
    </row>
    <row r="625" spans="2:2">
      <c r="B625" s="117"/>
    </row>
    <row r="626" spans="2:2">
      <c r="B626" s="117"/>
    </row>
    <row r="627" spans="2:2">
      <c r="B627" s="117"/>
    </row>
    <row r="628" spans="2:2">
      <c r="B628" s="117"/>
    </row>
    <row r="629" spans="2:2">
      <c r="B629" s="117"/>
    </row>
    <row r="630" spans="2:2">
      <c r="B630" s="117"/>
    </row>
    <row r="631" spans="2:2">
      <c r="B631" s="117"/>
    </row>
    <row r="632" spans="2:2">
      <c r="B632" s="117"/>
    </row>
    <row r="633" spans="2:2">
      <c r="B633" s="117"/>
    </row>
    <row r="634" spans="2:2">
      <c r="B634" s="117"/>
    </row>
    <row r="635" spans="2:2">
      <c r="B635" s="117"/>
    </row>
    <row r="636" spans="2:2">
      <c r="B636" s="117"/>
    </row>
    <row r="637" spans="2:2">
      <c r="B637" s="117"/>
    </row>
    <row r="638" spans="2:2">
      <c r="B638" s="117"/>
    </row>
    <row r="639" spans="2:2">
      <c r="B639" s="117"/>
    </row>
    <row r="640" spans="2:2">
      <c r="B640" s="117"/>
    </row>
    <row r="641" spans="2:2">
      <c r="B641" s="117"/>
    </row>
    <row r="642" spans="2:2">
      <c r="B642" s="117"/>
    </row>
    <row r="643" spans="2:2">
      <c r="B643" s="117"/>
    </row>
    <row r="644" spans="2:2">
      <c r="B644" s="117"/>
    </row>
    <row r="645" spans="2:2">
      <c r="B645" s="117"/>
    </row>
    <row r="646" spans="2:2">
      <c r="B646" s="117"/>
    </row>
    <row r="647" spans="2:2">
      <c r="B647" s="117"/>
    </row>
    <row r="648" spans="2:2">
      <c r="B648" s="117"/>
    </row>
    <row r="649" spans="2:2">
      <c r="B649" s="117"/>
    </row>
    <row r="650" spans="2:2">
      <c r="B650" s="117"/>
    </row>
    <row r="651" spans="2:2">
      <c r="B651" s="117"/>
    </row>
    <row r="652" spans="2:2">
      <c r="B652" s="117"/>
    </row>
    <row r="653" spans="2:2">
      <c r="B653" s="117"/>
    </row>
    <row r="654" spans="2:2">
      <c r="B654" s="117"/>
    </row>
    <row r="655" spans="2:2">
      <c r="B655" s="117"/>
    </row>
    <row r="656" spans="2:2">
      <c r="B656" s="117"/>
    </row>
    <row r="657" spans="2:2">
      <c r="B657" s="117"/>
    </row>
    <row r="658" spans="2:2">
      <c r="B658" s="117"/>
    </row>
    <row r="659" spans="2:2">
      <c r="B659" s="117"/>
    </row>
    <row r="660" spans="2:2">
      <c r="B660" s="117"/>
    </row>
    <row r="661" spans="2:2">
      <c r="B661" s="117"/>
    </row>
    <row r="662" spans="2:2">
      <c r="B662" s="117"/>
    </row>
    <row r="663" spans="2:2">
      <c r="B663" s="117"/>
    </row>
    <row r="664" spans="2:2">
      <c r="B664" s="117"/>
    </row>
    <row r="665" spans="2:2">
      <c r="B665" s="117"/>
    </row>
    <row r="666" spans="2:2">
      <c r="B666" s="117"/>
    </row>
    <row r="667" spans="2:2">
      <c r="B667" s="117"/>
    </row>
    <row r="668" spans="2:2">
      <c r="B668" s="117"/>
    </row>
    <row r="669" spans="2:2">
      <c r="B669" s="117"/>
    </row>
    <row r="670" spans="2:2">
      <c r="B670" s="117"/>
    </row>
    <row r="671" spans="2:2">
      <c r="B671" s="117"/>
    </row>
    <row r="672" spans="2:2">
      <c r="B672" s="117"/>
    </row>
    <row r="673" spans="2:2">
      <c r="B673" s="117"/>
    </row>
    <row r="674" spans="2:2">
      <c r="B674" s="117"/>
    </row>
    <row r="675" spans="2:2">
      <c r="B675" s="117"/>
    </row>
    <row r="676" spans="2:2">
      <c r="B676" s="117"/>
    </row>
    <row r="677" spans="2:2">
      <c r="B677" s="117"/>
    </row>
    <row r="678" spans="2:2">
      <c r="B678" s="117"/>
    </row>
    <row r="679" spans="2:2">
      <c r="B679" s="117"/>
    </row>
    <row r="680" spans="2:2">
      <c r="B680" s="117"/>
    </row>
    <row r="681" spans="2:2">
      <c r="B681" s="117"/>
    </row>
    <row r="682" spans="2:2">
      <c r="B682" s="117"/>
    </row>
    <row r="683" spans="2:2">
      <c r="B683" s="117"/>
    </row>
    <row r="684" spans="2:2">
      <c r="B684" s="117"/>
    </row>
    <row r="685" spans="2:2">
      <c r="B685" s="117"/>
    </row>
    <row r="686" spans="2:2">
      <c r="B686" s="117"/>
    </row>
    <row r="687" spans="2:2">
      <c r="B687" s="117"/>
    </row>
    <row r="688" spans="2:2">
      <c r="B688" s="117"/>
    </row>
    <row r="689" spans="2:2">
      <c r="B689" s="117"/>
    </row>
    <row r="690" spans="2:2">
      <c r="B690" s="117"/>
    </row>
    <row r="691" spans="2:2">
      <c r="B691" s="117"/>
    </row>
    <row r="692" spans="2:2">
      <c r="B692" s="117"/>
    </row>
    <row r="693" spans="2:2">
      <c r="B693" s="117"/>
    </row>
    <row r="694" spans="2:2">
      <c r="B694" s="117"/>
    </row>
    <row r="695" spans="2:2">
      <c r="B695" s="117"/>
    </row>
    <row r="696" spans="2:2">
      <c r="B696" s="117"/>
    </row>
    <row r="697" spans="2:2">
      <c r="B697" s="117"/>
    </row>
    <row r="698" spans="2:2">
      <c r="B698" s="117"/>
    </row>
    <row r="699" spans="2:2">
      <c r="B699" s="117"/>
    </row>
    <row r="700" spans="2:2">
      <c r="B700" s="117"/>
    </row>
    <row r="701" spans="2:2">
      <c r="B701" s="117"/>
    </row>
    <row r="702" spans="2:2">
      <c r="B702" s="117"/>
    </row>
    <row r="703" spans="2:2">
      <c r="B703" s="117"/>
    </row>
    <row r="704" spans="2:2">
      <c r="B704" s="117"/>
    </row>
    <row r="705" spans="2:2">
      <c r="B705" s="117"/>
    </row>
    <row r="706" spans="2:2">
      <c r="B706" s="117"/>
    </row>
    <row r="707" spans="2:2">
      <c r="B707" s="117"/>
    </row>
    <row r="708" spans="2:2">
      <c r="B708" s="117"/>
    </row>
    <row r="709" spans="2:2">
      <c r="B709" s="117"/>
    </row>
    <row r="710" spans="2:2">
      <c r="B710" s="117"/>
    </row>
    <row r="711" spans="2:2">
      <c r="B711" s="117"/>
    </row>
    <row r="712" spans="2:2">
      <c r="B712" s="117"/>
    </row>
    <row r="713" spans="2:2">
      <c r="B713" s="117"/>
    </row>
    <row r="714" spans="2:2">
      <c r="B714" s="117"/>
    </row>
    <row r="715" spans="2:2">
      <c r="B715" s="117"/>
    </row>
    <row r="716" spans="2:2">
      <c r="B716" s="117"/>
    </row>
    <row r="717" spans="2:2">
      <c r="B717" s="117"/>
    </row>
    <row r="718" spans="2:2">
      <c r="B718" s="117"/>
    </row>
    <row r="719" spans="2:2">
      <c r="B719" s="117"/>
    </row>
    <row r="720" spans="2:2">
      <c r="B720" s="117"/>
    </row>
    <row r="721" spans="2:2">
      <c r="B721" s="117"/>
    </row>
    <row r="722" spans="2:2">
      <c r="B722" s="117"/>
    </row>
    <row r="723" spans="2:2">
      <c r="B723" s="117"/>
    </row>
    <row r="724" spans="2:2">
      <c r="B724" s="117"/>
    </row>
    <row r="725" spans="2:2">
      <c r="B725" s="117"/>
    </row>
    <row r="726" spans="2:2">
      <c r="B726" s="117"/>
    </row>
    <row r="727" spans="2:2">
      <c r="B727" s="117"/>
    </row>
    <row r="728" spans="2:2">
      <c r="B728" s="11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6A92-B937-F84D-9674-62DB4B8F260F}">
  <sheetPr>
    <tabColor rgb="FFD1D161"/>
  </sheetPr>
  <dimension ref="A1:AK100"/>
  <sheetViews>
    <sheetView showGridLines="0" workbookViewId="0">
      <selection activeCell="E11" sqref="E11"/>
    </sheetView>
  </sheetViews>
  <sheetFormatPr baseColWidth="10" defaultRowHeight="13"/>
  <cols>
    <col min="1" max="1" width="6.6640625" customWidth="1"/>
    <col min="2" max="2" width="50.33203125" customWidth="1"/>
    <col min="3" max="3" width="23.33203125" customWidth="1"/>
    <col min="4" max="4" width="6.6640625" customWidth="1"/>
  </cols>
  <sheetData>
    <row r="1" spans="1:37" ht="25" customHeight="1">
      <c r="A1" s="3"/>
      <c r="B1" s="3"/>
      <c r="C1" s="3"/>
      <c r="D1" s="3"/>
      <c r="E1" s="3"/>
      <c r="F1" s="3"/>
      <c r="G1" s="3"/>
      <c r="H1" s="3"/>
      <c r="I1" s="3"/>
      <c r="J1" s="3"/>
      <c r="K1" s="3"/>
      <c r="L1" s="3"/>
      <c r="M1" s="3"/>
      <c r="N1" s="3"/>
      <c r="O1" s="3"/>
      <c r="P1" s="3"/>
      <c r="Q1" s="3"/>
      <c r="R1" s="3"/>
      <c r="S1" s="3"/>
      <c r="T1" s="3"/>
      <c r="U1" s="3"/>
      <c r="V1" s="3"/>
      <c r="W1" s="3"/>
      <c r="X1" s="3"/>
      <c r="Y1" s="3"/>
      <c r="Z1" s="3"/>
      <c r="AA1" s="52"/>
      <c r="AB1" s="52"/>
      <c r="AC1" s="52"/>
      <c r="AD1" s="52"/>
      <c r="AE1" s="52"/>
      <c r="AF1" s="52"/>
      <c r="AG1" s="52"/>
      <c r="AH1" s="52"/>
      <c r="AI1" s="52"/>
      <c r="AJ1" s="52"/>
      <c r="AK1" s="52"/>
    </row>
    <row r="2" spans="1:37" ht="68" customHeight="1">
      <c r="A2" s="3"/>
      <c r="B2" s="4" t="s">
        <v>130</v>
      </c>
      <c r="C2" s="3"/>
      <c r="D2" s="3"/>
      <c r="E2" s="3"/>
      <c r="F2" s="3"/>
      <c r="G2" s="3"/>
      <c r="H2" s="3"/>
      <c r="I2" s="3"/>
      <c r="J2" s="3"/>
      <c r="K2" s="3"/>
      <c r="L2" s="3"/>
      <c r="M2" s="3"/>
      <c r="N2" s="3"/>
      <c r="O2" s="3"/>
      <c r="P2" s="3"/>
      <c r="Q2" s="3"/>
      <c r="R2" s="3"/>
      <c r="S2" s="3"/>
      <c r="T2" s="3"/>
      <c r="U2" s="3"/>
      <c r="V2" s="3"/>
      <c r="W2" s="3"/>
      <c r="X2" s="3"/>
      <c r="Y2" s="3"/>
      <c r="Z2" s="3"/>
      <c r="AA2" s="52"/>
      <c r="AB2" s="52"/>
      <c r="AC2" s="52"/>
      <c r="AD2" s="52"/>
      <c r="AE2" s="52"/>
      <c r="AF2" s="52"/>
      <c r="AG2" s="52"/>
      <c r="AH2" s="52"/>
      <c r="AI2" s="52"/>
      <c r="AJ2" s="52"/>
      <c r="AK2" s="52"/>
    </row>
    <row r="3" spans="1:37" ht="15" customHeight="1">
      <c r="A3" s="3"/>
      <c r="B3" s="3"/>
      <c r="C3" s="3"/>
      <c r="D3" s="3"/>
      <c r="E3" s="3"/>
      <c r="F3" s="3"/>
      <c r="G3" s="3"/>
      <c r="H3" s="3"/>
      <c r="I3" s="3"/>
      <c r="J3" s="3"/>
      <c r="K3" s="3"/>
      <c r="L3" s="3"/>
      <c r="M3" s="3"/>
      <c r="N3" s="3"/>
      <c r="O3" s="3"/>
      <c r="P3" s="3"/>
      <c r="Q3" s="3"/>
      <c r="R3" s="3"/>
      <c r="S3" s="3"/>
      <c r="T3" s="3"/>
      <c r="U3" s="3"/>
      <c r="V3" s="3"/>
      <c r="W3" s="3"/>
      <c r="X3" s="3"/>
      <c r="Y3" s="3"/>
      <c r="Z3" s="3"/>
      <c r="AA3" s="52"/>
      <c r="AB3" s="52"/>
      <c r="AC3" s="52"/>
      <c r="AD3" s="52"/>
      <c r="AE3" s="52"/>
      <c r="AF3" s="52"/>
      <c r="AG3" s="52"/>
      <c r="AH3" s="52"/>
      <c r="AI3" s="52"/>
      <c r="AJ3" s="52"/>
      <c r="AK3" s="52"/>
    </row>
    <row r="4" spans="1:37" ht="16">
      <c r="A4" s="3"/>
      <c r="B4" s="69" t="s">
        <v>3</v>
      </c>
      <c r="C4" s="12">
        <v>45858</v>
      </c>
      <c r="D4" s="3"/>
      <c r="E4" s="3"/>
      <c r="F4" s="3"/>
      <c r="G4" s="3"/>
      <c r="H4" s="3"/>
      <c r="I4" s="3"/>
      <c r="J4" s="3"/>
      <c r="K4" s="3"/>
      <c r="L4" s="3"/>
      <c r="M4" s="3"/>
      <c r="N4" s="3"/>
      <c r="O4" s="3"/>
      <c r="P4" s="3"/>
      <c r="Q4" s="3"/>
      <c r="R4" s="3"/>
      <c r="S4" s="3"/>
      <c r="T4" s="3"/>
      <c r="U4" s="3"/>
      <c r="V4" s="3"/>
      <c r="W4" s="3"/>
      <c r="X4" s="3"/>
      <c r="Y4" s="3"/>
      <c r="Z4" s="3"/>
      <c r="AA4" s="52"/>
      <c r="AB4" s="52"/>
      <c r="AC4" s="52"/>
      <c r="AD4" s="52"/>
      <c r="AE4" s="52"/>
      <c r="AF4" s="52"/>
      <c r="AG4" s="52"/>
      <c r="AH4" s="52"/>
      <c r="AI4" s="52"/>
      <c r="AJ4" s="52"/>
      <c r="AK4" s="52"/>
    </row>
    <row r="5" spans="1:37" ht="16">
      <c r="A5" s="3"/>
      <c r="B5" s="69" t="s">
        <v>4</v>
      </c>
      <c r="C5" s="13">
        <v>30</v>
      </c>
      <c r="D5" s="3"/>
      <c r="E5" s="3"/>
      <c r="F5" s="3"/>
      <c r="G5" s="3"/>
      <c r="H5" s="3"/>
      <c r="I5" s="3"/>
      <c r="J5" s="3"/>
      <c r="K5" s="3"/>
      <c r="L5" s="3"/>
      <c r="M5" s="3"/>
      <c r="N5" s="3"/>
      <c r="O5" s="3"/>
      <c r="P5" s="3"/>
      <c r="Q5" s="3"/>
      <c r="R5" s="3"/>
      <c r="S5" s="3"/>
      <c r="T5" s="3"/>
      <c r="U5" s="3"/>
      <c r="V5" s="3"/>
      <c r="W5" s="3"/>
      <c r="X5" s="3"/>
      <c r="Y5" s="3"/>
      <c r="Z5" s="3"/>
      <c r="AA5" s="52"/>
      <c r="AB5" s="52"/>
      <c r="AC5" s="52"/>
      <c r="AD5" s="52"/>
      <c r="AE5" s="52"/>
      <c r="AF5" s="52"/>
      <c r="AG5" s="52"/>
      <c r="AH5" s="52"/>
      <c r="AI5" s="52"/>
      <c r="AJ5" s="52"/>
      <c r="AK5" s="52"/>
    </row>
    <row r="6" spans="1:37" ht="16">
      <c r="A6" s="3"/>
      <c r="B6" s="69" t="s">
        <v>5</v>
      </c>
      <c r="C6" s="13">
        <v>5</v>
      </c>
      <c r="D6" s="3"/>
      <c r="E6" s="3"/>
      <c r="F6" s="3"/>
      <c r="G6" s="3"/>
      <c r="H6" s="3"/>
      <c r="I6" s="3"/>
      <c r="J6" s="3"/>
      <c r="K6" s="3"/>
      <c r="L6" s="3"/>
      <c r="M6" s="3"/>
      <c r="N6" s="3"/>
      <c r="O6" s="3"/>
      <c r="P6" s="3"/>
      <c r="Q6" s="3"/>
      <c r="R6" s="3"/>
      <c r="S6" s="3"/>
      <c r="T6" s="3"/>
      <c r="U6" s="3"/>
      <c r="V6" s="3"/>
      <c r="W6" s="3"/>
      <c r="X6" s="3"/>
      <c r="Y6" s="3"/>
      <c r="Z6" s="3"/>
      <c r="AA6" s="52"/>
      <c r="AB6" s="52"/>
      <c r="AC6" s="52"/>
      <c r="AD6" s="52"/>
      <c r="AE6" s="52"/>
      <c r="AF6" s="52"/>
      <c r="AG6" s="52"/>
      <c r="AH6" s="52"/>
      <c r="AI6" s="52"/>
      <c r="AJ6" s="52"/>
      <c r="AK6" s="52"/>
    </row>
    <row r="7" spans="1:37" ht="15" customHeight="1">
      <c r="A7" s="3"/>
      <c r="B7" s="3"/>
      <c r="C7" s="3"/>
      <c r="D7" s="3"/>
      <c r="E7" s="3"/>
      <c r="F7" s="3"/>
      <c r="G7" s="3"/>
      <c r="H7" s="3"/>
      <c r="I7" s="3"/>
      <c r="J7" s="3"/>
      <c r="K7" s="3"/>
      <c r="L7" s="3"/>
      <c r="M7" s="3"/>
      <c r="N7" s="3"/>
      <c r="O7" s="3"/>
      <c r="P7" s="3"/>
      <c r="Q7" s="3"/>
      <c r="R7" s="3"/>
      <c r="S7" s="3"/>
      <c r="T7" s="3"/>
      <c r="U7" s="3"/>
      <c r="V7" s="3"/>
      <c r="W7" s="3"/>
      <c r="X7" s="3"/>
      <c r="Y7" s="3"/>
      <c r="Z7" s="3"/>
      <c r="AA7" s="52"/>
      <c r="AB7" s="52"/>
      <c r="AC7" s="52"/>
      <c r="AD7" s="52"/>
      <c r="AE7" s="52"/>
      <c r="AF7" s="52"/>
      <c r="AG7" s="52"/>
      <c r="AH7" s="52"/>
      <c r="AI7" s="52"/>
      <c r="AJ7" s="52"/>
      <c r="AK7" s="52"/>
    </row>
    <row r="8" spans="1:37" ht="25" customHeight="1">
      <c r="A8" s="3"/>
      <c r="B8" s="5" t="s">
        <v>30</v>
      </c>
      <c r="C8" s="3"/>
      <c r="D8" s="3"/>
      <c r="E8" s="3"/>
      <c r="F8" s="3"/>
      <c r="G8" s="3"/>
      <c r="H8" s="3"/>
      <c r="I8" s="3"/>
      <c r="J8" s="3"/>
      <c r="K8" s="3"/>
      <c r="L8" s="3"/>
      <c r="M8" s="3"/>
      <c r="N8" s="3"/>
      <c r="O8" s="3"/>
      <c r="P8" s="3"/>
      <c r="Q8" s="3"/>
      <c r="R8" s="3"/>
      <c r="S8" s="3"/>
      <c r="T8" s="3"/>
      <c r="U8" s="3"/>
      <c r="V8" s="3"/>
      <c r="W8" s="3"/>
      <c r="X8" s="3"/>
      <c r="Y8" s="3"/>
      <c r="Z8" s="3"/>
      <c r="AA8" s="52"/>
      <c r="AB8" s="52"/>
      <c r="AC8" s="52"/>
      <c r="AD8" s="52"/>
      <c r="AE8" s="52"/>
      <c r="AF8" s="52"/>
      <c r="AG8" s="52"/>
      <c r="AH8" s="52"/>
      <c r="AI8" s="52"/>
      <c r="AJ8" s="52"/>
      <c r="AK8" s="52"/>
    </row>
    <row r="9" spans="1:37" ht="15" customHeight="1">
      <c r="A9" s="3"/>
      <c r="B9" s="3"/>
      <c r="C9" s="3"/>
      <c r="D9" s="3"/>
      <c r="E9" s="3"/>
      <c r="F9" s="3"/>
      <c r="G9" s="3"/>
      <c r="H9" s="3"/>
      <c r="I9" s="3"/>
      <c r="J9" s="3"/>
      <c r="K9" s="3"/>
      <c r="L9" s="3"/>
      <c r="M9" s="3"/>
      <c r="N9" s="3"/>
      <c r="O9" s="3"/>
      <c r="P9" s="3"/>
      <c r="Q9" s="3"/>
      <c r="R9" s="3"/>
      <c r="S9" s="3"/>
      <c r="T9" s="3"/>
      <c r="U9" s="3"/>
      <c r="V9" s="3"/>
      <c r="W9" s="3"/>
      <c r="X9" s="3"/>
      <c r="Y9" s="3"/>
      <c r="Z9" s="3"/>
      <c r="AA9" s="52"/>
      <c r="AB9" s="52"/>
      <c r="AC9" s="52"/>
      <c r="AD9" s="52"/>
      <c r="AE9" s="52"/>
      <c r="AF9" s="52"/>
      <c r="AG9" s="52"/>
      <c r="AH9" s="52"/>
      <c r="AI9" s="52"/>
      <c r="AJ9" s="52"/>
      <c r="AK9" s="52"/>
    </row>
    <row r="10" spans="1:37">
      <c r="A10" s="3"/>
      <c r="B10" s="6" t="s">
        <v>31</v>
      </c>
      <c r="C10" s="6" t="s">
        <v>32</v>
      </c>
      <c r="D10" s="3"/>
      <c r="E10" s="3"/>
      <c r="F10" s="3"/>
      <c r="G10" s="3"/>
      <c r="H10" s="3"/>
      <c r="I10" s="3"/>
      <c r="J10" s="3"/>
      <c r="K10" s="3"/>
      <c r="L10" s="3"/>
      <c r="M10" s="3"/>
      <c r="N10" s="3"/>
      <c r="O10" s="3"/>
      <c r="P10" s="3"/>
      <c r="Q10" s="3"/>
      <c r="R10" s="3"/>
      <c r="S10" s="3"/>
      <c r="T10" s="3"/>
      <c r="U10" s="3"/>
      <c r="V10" s="3"/>
      <c r="W10" s="3"/>
      <c r="X10" s="3"/>
      <c r="Y10" s="3"/>
      <c r="Z10" s="3"/>
      <c r="AA10" s="52"/>
      <c r="AB10" s="52"/>
      <c r="AC10" s="52"/>
      <c r="AD10" s="52"/>
      <c r="AE10" s="52"/>
      <c r="AF10" s="52"/>
      <c r="AG10" s="52"/>
      <c r="AH10" s="52"/>
      <c r="AI10" s="52"/>
      <c r="AJ10" s="52"/>
      <c r="AK10" s="52"/>
    </row>
    <row r="11" spans="1:37" ht="22" customHeight="1">
      <c r="A11" s="3"/>
      <c r="B11" s="7" t="s">
        <v>1</v>
      </c>
      <c r="C11" s="8" t="str">
        <f>"Days 1–"&amp;C6</f>
        <v>Days 1–5</v>
      </c>
      <c r="D11" s="3"/>
      <c r="E11" s="3"/>
      <c r="F11" s="3"/>
      <c r="G11" s="3"/>
      <c r="H11" s="3"/>
      <c r="I11" s="3"/>
      <c r="J11" s="3"/>
      <c r="K11" s="3"/>
      <c r="L11" s="3"/>
      <c r="M11" s="3"/>
      <c r="N11" s="3"/>
      <c r="O11" s="3"/>
      <c r="P11" s="3"/>
      <c r="Q11" s="3"/>
      <c r="R11" s="3"/>
      <c r="S11" s="3"/>
      <c r="T11" s="3"/>
      <c r="U11" s="3"/>
      <c r="V11" s="3"/>
      <c r="W11" s="3"/>
      <c r="X11" s="3"/>
      <c r="Y11" s="3"/>
      <c r="Z11" s="3"/>
      <c r="AA11" s="52"/>
      <c r="AB11" s="52"/>
      <c r="AC11" s="52"/>
      <c r="AD11" s="52"/>
      <c r="AE11" s="52"/>
      <c r="AF11" s="52"/>
      <c r="AG11" s="52"/>
      <c r="AH11" s="52"/>
      <c r="AI11" s="52"/>
      <c r="AJ11" s="52"/>
      <c r="AK11" s="52"/>
    </row>
    <row r="12" spans="1:37" ht="22" customHeight="1">
      <c r="A12" s="3"/>
      <c r="B12" s="61" t="s">
        <v>6</v>
      </c>
      <c r="C12" s="62" t="str">
        <f>"Days "&amp;(C6+1)&amp;"–"&amp;(ROUND(C5/2,0)-2)</f>
        <v>Days 6–13</v>
      </c>
      <c r="D12" s="3"/>
      <c r="E12" s="3"/>
      <c r="F12" s="3"/>
      <c r="G12" s="3"/>
      <c r="H12" s="3"/>
      <c r="I12" s="3"/>
      <c r="J12" s="3"/>
      <c r="K12" s="3"/>
      <c r="L12" s="3"/>
      <c r="M12" s="3"/>
      <c r="N12" s="3"/>
      <c r="O12" s="3"/>
      <c r="P12" s="3"/>
      <c r="Q12" s="3"/>
      <c r="R12" s="3"/>
      <c r="S12" s="3"/>
      <c r="T12" s="3"/>
      <c r="U12" s="3"/>
      <c r="V12" s="3"/>
      <c r="W12" s="3"/>
      <c r="X12" s="3"/>
      <c r="Y12" s="3"/>
      <c r="Z12" s="3"/>
      <c r="AA12" s="52"/>
      <c r="AB12" s="52"/>
      <c r="AC12" s="52"/>
      <c r="AD12" s="52"/>
      <c r="AE12" s="52"/>
      <c r="AF12" s="52"/>
      <c r="AG12" s="52"/>
      <c r="AH12" s="52"/>
      <c r="AI12" s="52"/>
      <c r="AJ12" s="52"/>
      <c r="AK12" s="52"/>
    </row>
    <row r="13" spans="1:37" ht="22" customHeight="1">
      <c r="A13" s="3"/>
      <c r="B13" s="63" t="s">
        <v>2</v>
      </c>
      <c r="C13" s="64" t="str">
        <f>"Days "&amp;(ROUND(C5/2,0)-1)&amp;"–"&amp;(ROUND(C5/2,0)+1)</f>
        <v>Days 14–16</v>
      </c>
      <c r="D13" s="3"/>
      <c r="E13" s="3"/>
      <c r="F13" s="3"/>
      <c r="G13" s="3"/>
      <c r="H13" s="3"/>
      <c r="I13" s="3"/>
      <c r="J13" s="3"/>
      <c r="K13" s="3"/>
      <c r="L13" s="3"/>
      <c r="M13" s="3"/>
      <c r="N13" s="3"/>
      <c r="O13" s="3"/>
      <c r="P13" s="3"/>
      <c r="Q13" s="3"/>
      <c r="R13" s="3"/>
      <c r="S13" s="3"/>
      <c r="T13" s="3"/>
      <c r="U13" s="3"/>
      <c r="V13" s="3"/>
      <c r="W13" s="3"/>
      <c r="X13" s="3"/>
      <c r="Y13" s="3"/>
      <c r="Z13" s="3"/>
      <c r="AA13" s="52"/>
      <c r="AB13" s="52"/>
      <c r="AC13" s="52"/>
      <c r="AD13" s="52"/>
      <c r="AE13" s="52"/>
      <c r="AF13" s="52"/>
      <c r="AG13" s="52"/>
      <c r="AH13" s="52"/>
      <c r="AI13" s="52"/>
      <c r="AJ13" s="52"/>
      <c r="AK13" s="52"/>
    </row>
    <row r="14" spans="1:37" ht="22" customHeight="1">
      <c r="A14" s="3"/>
      <c r="B14" s="65" t="s">
        <v>7</v>
      </c>
      <c r="C14" s="66" t="str">
        <f>"Days "&amp;(ROUND(C5/2,0)+2)&amp;"–"&amp;(C5-5)</f>
        <v>Days 17–25</v>
      </c>
      <c r="D14" s="3"/>
      <c r="E14" s="3"/>
      <c r="F14" s="3"/>
      <c r="G14" s="3"/>
      <c r="H14" s="3"/>
      <c r="I14" s="3"/>
      <c r="J14" s="3"/>
      <c r="K14" s="3"/>
      <c r="L14" s="3"/>
      <c r="M14" s="3"/>
      <c r="N14" s="3"/>
      <c r="O14" s="3"/>
      <c r="P14" s="3"/>
      <c r="Q14" s="3"/>
      <c r="R14" s="3"/>
      <c r="S14" s="3"/>
      <c r="T14" s="3"/>
      <c r="U14" s="3"/>
      <c r="V14" s="3"/>
      <c r="W14" s="3"/>
      <c r="X14" s="3"/>
      <c r="Y14" s="3"/>
      <c r="Z14" s="3"/>
      <c r="AA14" s="52"/>
      <c r="AB14" s="52"/>
      <c r="AC14" s="52"/>
      <c r="AD14" s="52"/>
      <c r="AE14" s="52"/>
      <c r="AF14" s="52"/>
      <c r="AG14" s="52"/>
      <c r="AH14" s="52"/>
      <c r="AI14" s="52"/>
      <c r="AJ14" s="52"/>
      <c r="AK14" s="52"/>
    </row>
    <row r="15" spans="1:37" ht="22" customHeight="1">
      <c r="A15" s="3"/>
      <c r="B15" s="67" t="s">
        <v>8</v>
      </c>
      <c r="C15" s="68" t="str">
        <f>"Days "&amp;(C5-4)&amp;"–"&amp;C5</f>
        <v>Days 26–30</v>
      </c>
      <c r="D15" s="3"/>
      <c r="E15" s="3"/>
      <c r="F15" s="3"/>
      <c r="G15" s="3"/>
      <c r="H15" s="3"/>
      <c r="I15" s="3"/>
      <c r="J15" s="3"/>
      <c r="K15" s="3"/>
      <c r="L15" s="3"/>
      <c r="M15" s="3"/>
      <c r="N15" s="3"/>
      <c r="O15" s="3"/>
      <c r="P15" s="3"/>
      <c r="Q15" s="3"/>
      <c r="R15" s="3"/>
      <c r="S15" s="3"/>
      <c r="T15" s="3"/>
      <c r="U15" s="3"/>
      <c r="V15" s="3"/>
      <c r="W15" s="3"/>
      <c r="X15" s="3"/>
      <c r="Y15" s="3"/>
      <c r="Z15" s="3"/>
      <c r="AA15" s="52"/>
      <c r="AB15" s="52"/>
      <c r="AC15" s="52"/>
      <c r="AD15" s="52"/>
      <c r="AE15" s="52"/>
      <c r="AF15" s="52"/>
      <c r="AG15" s="52"/>
      <c r="AH15" s="52"/>
      <c r="AI15" s="52"/>
      <c r="AJ15" s="52"/>
      <c r="AK15" s="52"/>
    </row>
    <row r="16" spans="1:37">
      <c r="A16" s="3"/>
      <c r="B16" s="9"/>
      <c r="C16" s="9"/>
      <c r="D16" s="3"/>
      <c r="E16" s="3"/>
      <c r="F16" s="3"/>
      <c r="G16" s="3"/>
      <c r="H16" s="3"/>
      <c r="I16" s="3"/>
      <c r="J16" s="3"/>
      <c r="K16" s="3"/>
      <c r="L16" s="3"/>
      <c r="M16" s="3"/>
      <c r="N16" s="3"/>
      <c r="O16" s="3"/>
      <c r="P16" s="3"/>
      <c r="Q16" s="3"/>
      <c r="R16" s="3"/>
      <c r="S16" s="3"/>
      <c r="T16" s="3"/>
      <c r="U16" s="3"/>
      <c r="V16" s="3"/>
      <c r="W16" s="3"/>
      <c r="X16" s="3"/>
      <c r="Y16" s="3"/>
      <c r="Z16" s="3"/>
      <c r="AA16" s="52"/>
      <c r="AB16" s="52"/>
      <c r="AC16" s="52"/>
      <c r="AD16" s="52"/>
      <c r="AE16" s="52"/>
      <c r="AF16" s="52"/>
      <c r="AG16" s="52"/>
      <c r="AH16" s="52"/>
      <c r="AI16" s="52"/>
      <c r="AJ16" s="52"/>
      <c r="AK16" s="52"/>
    </row>
    <row r="17" spans="1:37">
      <c r="A17" s="3"/>
      <c r="B17" s="3"/>
      <c r="C17" s="3"/>
      <c r="D17" s="3"/>
      <c r="E17" s="3"/>
      <c r="F17" s="3"/>
      <c r="G17" s="3"/>
      <c r="H17" s="3"/>
      <c r="I17" s="3"/>
      <c r="J17" s="3"/>
      <c r="K17" s="3"/>
      <c r="L17" s="3"/>
      <c r="M17" s="3"/>
      <c r="N17" s="3"/>
      <c r="O17" s="3"/>
      <c r="P17" s="3"/>
      <c r="Q17" s="3"/>
      <c r="R17" s="3"/>
      <c r="S17" s="3"/>
      <c r="T17" s="3"/>
      <c r="U17" s="3"/>
      <c r="V17" s="3"/>
      <c r="W17" s="3"/>
      <c r="X17" s="3"/>
      <c r="Y17" s="3"/>
      <c r="Z17" s="3"/>
      <c r="AA17" s="52"/>
      <c r="AB17" s="52"/>
      <c r="AC17" s="52"/>
      <c r="AD17" s="52"/>
      <c r="AE17" s="52"/>
      <c r="AF17" s="52"/>
      <c r="AG17" s="52"/>
      <c r="AH17" s="52"/>
      <c r="AI17" s="52"/>
      <c r="AJ17" s="52"/>
      <c r="AK17" s="52"/>
    </row>
    <row r="18" spans="1:37" ht="26">
      <c r="A18" s="3"/>
      <c r="B18" s="10" t="s">
        <v>93</v>
      </c>
      <c r="C18" s="3"/>
      <c r="D18" s="3"/>
      <c r="E18" s="3"/>
      <c r="F18" s="3"/>
      <c r="G18" s="3"/>
      <c r="H18" s="3"/>
      <c r="I18" s="3"/>
      <c r="J18" s="3"/>
      <c r="K18" s="3"/>
      <c r="L18" s="3"/>
      <c r="M18" s="3"/>
      <c r="N18" s="3"/>
      <c r="O18" s="3"/>
      <c r="P18" s="3"/>
      <c r="Q18" s="3"/>
      <c r="R18" s="3"/>
      <c r="S18" s="3"/>
      <c r="T18" s="3"/>
      <c r="U18" s="3"/>
      <c r="V18" s="3"/>
      <c r="W18" s="3"/>
      <c r="X18" s="3"/>
      <c r="Y18" s="3"/>
      <c r="Z18" s="3"/>
      <c r="AA18" s="52"/>
      <c r="AB18" s="52"/>
      <c r="AC18" s="52"/>
      <c r="AD18" s="52"/>
      <c r="AE18" s="52"/>
      <c r="AF18" s="52"/>
      <c r="AG18" s="52"/>
      <c r="AH18" s="52"/>
      <c r="AI18" s="52"/>
      <c r="AJ18" s="52"/>
      <c r="AK18" s="52"/>
    </row>
    <row r="19" spans="1:37">
      <c r="A19" s="3"/>
      <c r="B19" s="11"/>
      <c r="C19" s="3"/>
      <c r="D19" s="3"/>
      <c r="E19" s="3"/>
      <c r="F19" s="3"/>
      <c r="G19" s="3"/>
      <c r="H19" s="3"/>
      <c r="I19" s="3"/>
      <c r="J19" s="3"/>
      <c r="K19" s="3"/>
      <c r="L19" s="3"/>
      <c r="M19" s="3"/>
      <c r="N19" s="3"/>
      <c r="O19" s="3"/>
      <c r="P19" s="3"/>
      <c r="Q19" s="3"/>
      <c r="R19" s="3"/>
      <c r="S19" s="3"/>
      <c r="T19" s="3"/>
      <c r="U19" s="3"/>
      <c r="V19" s="3"/>
      <c r="W19" s="3"/>
      <c r="X19" s="3"/>
      <c r="Y19" s="3"/>
      <c r="Z19" s="3"/>
      <c r="AA19" s="52"/>
      <c r="AB19" s="52"/>
      <c r="AC19" s="52"/>
      <c r="AD19" s="52"/>
      <c r="AE19" s="52"/>
      <c r="AF19" s="52"/>
      <c r="AG19" s="52"/>
      <c r="AH19" s="52"/>
      <c r="AI19" s="52"/>
      <c r="AJ19" s="52"/>
      <c r="AK19" s="52"/>
    </row>
    <row r="20" spans="1:37">
      <c r="A20" s="3"/>
      <c r="B20" s="3"/>
      <c r="C20" s="3"/>
      <c r="D20" s="3"/>
      <c r="E20" s="3"/>
      <c r="F20" s="3"/>
      <c r="G20" s="3"/>
      <c r="H20" s="3"/>
      <c r="I20" s="3"/>
      <c r="J20" s="3"/>
      <c r="K20" s="3"/>
      <c r="L20" s="3"/>
      <c r="M20" s="3"/>
      <c r="N20" s="3"/>
      <c r="O20" s="3"/>
      <c r="P20" s="3"/>
      <c r="Q20" s="3"/>
      <c r="R20" s="3"/>
      <c r="S20" s="3"/>
      <c r="T20" s="3"/>
      <c r="U20" s="3"/>
      <c r="V20" s="3"/>
      <c r="W20" s="3"/>
      <c r="X20" s="3"/>
      <c r="Y20" s="3"/>
      <c r="Z20" s="3"/>
      <c r="AA20" s="52"/>
      <c r="AB20" s="52"/>
      <c r="AC20" s="52"/>
      <c r="AD20" s="52"/>
      <c r="AE20" s="52"/>
      <c r="AF20" s="52"/>
      <c r="AG20" s="52"/>
      <c r="AH20" s="52"/>
      <c r="AI20" s="52"/>
      <c r="AJ20" s="52"/>
      <c r="AK20" s="52"/>
    </row>
    <row r="21" spans="1:37">
      <c r="A21" s="3"/>
      <c r="B21" s="3"/>
      <c r="C21" s="3"/>
      <c r="D21" s="3"/>
      <c r="E21" s="3"/>
      <c r="F21" s="3"/>
      <c r="G21" s="3"/>
      <c r="H21" s="3"/>
      <c r="I21" s="3"/>
      <c r="J21" s="3"/>
      <c r="K21" s="3"/>
      <c r="L21" s="3"/>
      <c r="M21" s="3"/>
      <c r="N21" s="3"/>
      <c r="O21" s="3"/>
      <c r="P21" s="3"/>
      <c r="Q21" s="3"/>
      <c r="R21" s="3"/>
      <c r="S21" s="3"/>
      <c r="T21" s="3"/>
      <c r="U21" s="3"/>
      <c r="V21" s="3"/>
      <c r="W21" s="3"/>
      <c r="X21" s="3"/>
      <c r="Y21" s="3"/>
      <c r="Z21" s="3"/>
      <c r="AA21" s="52"/>
      <c r="AB21" s="52"/>
      <c r="AC21" s="52"/>
      <c r="AD21" s="52"/>
      <c r="AE21" s="52"/>
      <c r="AF21" s="52"/>
      <c r="AG21" s="52"/>
      <c r="AH21" s="52"/>
      <c r="AI21" s="52"/>
      <c r="AJ21" s="52"/>
      <c r="AK21" s="52"/>
    </row>
    <row r="22" spans="1:37">
      <c r="A22" s="3"/>
      <c r="B22" s="3"/>
      <c r="C22" s="3"/>
      <c r="D22" s="3"/>
      <c r="E22" s="3"/>
      <c r="F22" s="3"/>
      <c r="G22" s="3"/>
      <c r="H22" s="3"/>
      <c r="I22" s="3"/>
      <c r="J22" s="3"/>
      <c r="K22" s="3"/>
      <c r="L22" s="3"/>
      <c r="M22" s="3"/>
      <c r="N22" s="3"/>
      <c r="O22" s="3"/>
      <c r="P22" s="3"/>
      <c r="Q22" s="3"/>
      <c r="R22" s="3"/>
      <c r="S22" s="3"/>
      <c r="T22" s="3"/>
      <c r="U22" s="3"/>
      <c r="V22" s="3"/>
      <c r="W22" s="3"/>
      <c r="X22" s="3"/>
      <c r="Y22" s="3"/>
      <c r="Z22" s="3"/>
      <c r="AA22" s="52"/>
      <c r="AB22" s="52"/>
      <c r="AC22" s="52"/>
      <c r="AD22" s="52"/>
      <c r="AE22" s="52"/>
      <c r="AF22" s="52"/>
      <c r="AG22" s="52"/>
      <c r="AH22" s="52"/>
      <c r="AI22" s="52"/>
      <c r="AJ22" s="52"/>
      <c r="AK22" s="52"/>
    </row>
    <row r="23" spans="1:37">
      <c r="A23" s="3"/>
      <c r="B23" s="3"/>
      <c r="C23" s="3"/>
      <c r="D23" s="3"/>
      <c r="E23" s="3"/>
      <c r="F23" s="3"/>
      <c r="G23" s="3"/>
      <c r="H23" s="3"/>
      <c r="I23" s="3"/>
      <c r="J23" s="3"/>
      <c r="K23" s="3"/>
      <c r="L23" s="3"/>
      <c r="M23" s="3"/>
      <c r="N23" s="3"/>
      <c r="O23" s="3"/>
      <c r="P23" s="3"/>
      <c r="Q23" s="3"/>
      <c r="R23" s="3"/>
      <c r="S23" s="3"/>
      <c r="T23" s="3"/>
      <c r="U23" s="3"/>
      <c r="V23" s="3"/>
      <c r="W23" s="3"/>
      <c r="X23" s="3"/>
      <c r="Y23" s="3"/>
      <c r="Z23" s="3"/>
      <c r="AA23" s="52"/>
      <c r="AB23" s="52"/>
      <c r="AC23" s="52"/>
      <c r="AD23" s="52"/>
      <c r="AE23" s="52"/>
      <c r="AF23" s="52"/>
      <c r="AG23" s="52"/>
      <c r="AH23" s="52"/>
      <c r="AI23" s="52"/>
      <c r="AJ23" s="52"/>
      <c r="AK23" s="52"/>
    </row>
    <row r="24" spans="1:37">
      <c r="A24" s="3"/>
      <c r="B24" s="3"/>
      <c r="C24" s="3"/>
      <c r="D24" s="3"/>
      <c r="E24" s="3"/>
      <c r="F24" s="3"/>
      <c r="G24" s="3"/>
      <c r="H24" s="3"/>
      <c r="I24" s="3"/>
      <c r="J24" s="3"/>
      <c r="K24" s="3"/>
      <c r="L24" s="3"/>
      <c r="M24" s="3"/>
      <c r="N24" s="3"/>
      <c r="O24" s="3"/>
      <c r="P24" s="3"/>
      <c r="Q24" s="3"/>
      <c r="R24" s="3"/>
      <c r="S24" s="3"/>
      <c r="T24" s="3"/>
      <c r="U24" s="3"/>
      <c r="V24" s="3"/>
      <c r="W24" s="3"/>
      <c r="X24" s="3"/>
      <c r="Y24" s="3"/>
      <c r="Z24" s="3"/>
      <c r="AA24" s="52"/>
      <c r="AB24" s="52"/>
      <c r="AC24" s="52"/>
      <c r="AD24" s="52"/>
      <c r="AE24" s="52"/>
      <c r="AF24" s="52"/>
      <c r="AG24" s="52"/>
      <c r="AH24" s="52"/>
      <c r="AI24" s="52"/>
      <c r="AJ24" s="52"/>
      <c r="AK24" s="52"/>
    </row>
    <row r="25" spans="1:37">
      <c r="A25" s="3"/>
      <c r="B25" s="3"/>
      <c r="C25" s="3"/>
      <c r="D25" s="3"/>
      <c r="E25" s="3"/>
      <c r="F25" s="3"/>
      <c r="G25" s="3"/>
      <c r="H25" s="3"/>
      <c r="I25" s="3"/>
      <c r="J25" s="3"/>
      <c r="K25" s="3"/>
      <c r="L25" s="3"/>
      <c r="M25" s="3"/>
      <c r="N25" s="3"/>
      <c r="O25" s="3"/>
      <c r="P25" s="3"/>
      <c r="Q25" s="3"/>
      <c r="R25" s="3"/>
      <c r="S25" s="3"/>
      <c r="T25" s="3"/>
      <c r="U25" s="3"/>
      <c r="V25" s="3"/>
      <c r="W25" s="3"/>
      <c r="X25" s="3"/>
      <c r="Y25" s="3"/>
      <c r="Z25" s="3"/>
      <c r="AA25" s="52"/>
      <c r="AB25" s="52"/>
      <c r="AC25" s="52"/>
      <c r="AD25" s="52"/>
      <c r="AE25" s="52"/>
      <c r="AF25" s="52"/>
      <c r="AG25" s="52"/>
      <c r="AH25" s="52"/>
      <c r="AI25" s="52"/>
      <c r="AJ25" s="52"/>
      <c r="AK25" s="52"/>
    </row>
    <row r="26" spans="1:37">
      <c r="A26" s="3"/>
      <c r="B26" s="3"/>
      <c r="C26" s="3"/>
      <c r="D26" s="3"/>
      <c r="E26" s="3"/>
      <c r="F26" s="3"/>
      <c r="G26" s="3"/>
      <c r="H26" s="3"/>
      <c r="I26" s="3"/>
      <c r="J26" s="3"/>
      <c r="K26" s="3"/>
      <c r="L26" s="3"/>
      <c r="M26" s="3"/>
      <c r="N26" s="3"/>
      <c r="O26" s="3"/>
      <c r="P26" s="3"/>
      <c r="Q26" s="3"/>
      <c r="R26" s="3"/>
      <c r="S26" s="3"/>
      <c r="T26" s="3"/>
      <c r="U26" s="3"/>
      <c r="V26" s="3"/>
      <c r="W26" s="3"/>
      <c r="X26" s="3"/>
      <c r="Y26" s="3"/>
      <c r="Z26" s="3"/>
      <c r="AA26" s="52"/>
      <c r="AB26" s="52"/>
      <c r="AC26" s="52"/>
      <c r="AD26" s="52"/>
      <c r="AE26" s="52"/>
      <c r="AF26" s="52"/>
      <c r="AG26" s="52"/>
      <c r="AH26" s="52"/>
      <c r="AI26" s="52"/>
      <c r="AJ26" s="52"/>
      <c r="AK26" s="52"/>
    </row>
    <row r="27" spans="1:37">
      <c r="A27" s="3"/>
      <c r="B27" s="3"/>
      <c r="C27" s="3"/>
      <c r="D27" s="3"/>
      <c r="E27" s="3"/>
      <c r="F27" s="3"/>
      <c r="G27" s="3"/>
      <c r="H27" s="3"/>
      <c r="I27" s="3"/>
      <c r="J27" s="3"/>
      <c r="K27" s="3"/>
      <c r="L27" s="3"/>
      <c r="M27" s="3"/>
      <c r="N27" s="3"/>
      <c r="O27" s="3"/>
      <c r="P27" s="3"/>
      <c r="Q27" s="3"/>
      <c r="R27" s="3"/>
      <c r="S27" s="3"/>
      <c r="T27" s="3"/>
      <c r="U27" s="3"/>
      <c r="V27" s="3"/>
      <c r="W27" s="3"/>
      <c r="X27" s="3"/>
      <c r="Y27" s="3"/>
      <c r="Z27" s="3"/>
      <c r="AA27" s="52"/>
      <c r="AB27" s="52"/>
      <c r="AC27" s="52"/>
      <c r="AD27" s="52"/>
      <c r="AE27" s="52"/>
      <c r="AF27" s="52"/>
      <c r="AG27" s="52"/>
      <c r="AH27" s="52"/>
      <c r="AI27" s="52"/>
      <c r="AJ27" s="52"/>
      <c r="AK27" s="52"/>
    </row>
    <row r="28" spans="1:37">
      <c r="A28" s="3"/>
      <c r="B28" s="3"/>
      <c r="C28" s="3"/>
      <c r="D28" s="3"/>
      <c r="E28" s="3"/>
      <c r="F28" s="3"/>
      <c r="G28" s="3"/>
      <c r="H28" s="3"/>
      <c r="I28" s="3"/>
      <c r="J28" s="3"/>
      <c r="K28" s="3"/>
      <c r="L28" s="3"/>
      <c r="M28" s="3"/>
      <c r="N28" s="3"/>
      <c r="O28" s="3"/>
      <c r="P28" s="3"/>
      <c r="Q28" s="3"/>
      <c r="R28" s="3"/>
      <c r="S28" s="3"/>
      <c r="T28" s="3"/>
      <c r="U28" s="3"/>
      <c r="V28" s="3"/>
      <c r="W28" s="3"/>
      <c r="X28" s="3"/>
      <c r="Y28" s="3"/>
      <c r="Z28" s="3"/>
      <c r="AA28" s="52"/>
      <c r="AB28" s="52"/>
      <c r="AC28" s="52"/>
      <c r="AD28" s="52"/>
      <c r="AE28" s="52"/>
      <c r="AF28" s="52"/>
      <c r="AG28" s="52"/>
      <c r="AH28" s="52"/>
      <c r="AI28" s="52"/>
      <c r="AJ28" s="52"/>
      <c r="AK28" s="52"/>
    </row>
    <row r="29" spans="1:37">
      <c r="A29" s="3"/>
      <c r="B29" s="3"/>
      <c r="C29" s="3"/>
      <c r="D29" s="3"/>
      <c r="E29" s="3"/>
      <c r="F29" s="3"/>
      <c r="G29" s="3"/>
      <c r="H29" s="3"/>
      <c r="I29" s="3"/>
      <c r="J29" s="3"/>
      <c r="K29" s="3"/>
      <c r="L29" s="3"/>
      <c r="M29" s="3"/>
      <c r="N29" s="3"/>
      <c r="O29" s="3"/>
      <c r="P29" s="3"/>
      <c r="Q29" s="3"/>
      <c r="R29" s="3"/>
      <c r="S29" s="3"/>
      <c r="T29" s="3"/>
      <c r="U29" s="3"/>
      <c r="V29" s="3"/>
      <c r="W29" s="3"/>
      <c r="X29" s="3"/>
      <c r="Y29" s="3"/>
      <c r="Z29" s="3"/>
      <c r="AA29" s="52"/>
      <c r="AB29" s="52"/>
      <c r="AC29" s="52"/>
      <c r="AD29" s="52"/>
      <c r="AE29" s="52"/>
      <c r="AF29" s="52"/>
      <c r="AG29" s="52"/>
      <c r="AH29" s="52"/>
      <c r="AI29" s="52"/>
      <c r="AJ29" s="52"/>
      <c r="AK29" s="52"/>
    </row>
    <row r="30" spans="1:37">
      <c r="A30" s="3"/>
      <c r="B30" s="3"/>
      <c r="C30" s="3"/>
      <c r="D30" s="3"/>
      <c r="E30" s="3"/>
      <c r="F30" s="3"/>
      <c r="G30" s="3"/>
      <c r="H30" s="3"/>
      <c r="I30" s="3"/>
      <c r="J30" s="3"/>
      <c r="K30" s="3"/>
      <c r="L30" s="3"/>
      <c r="M30" s="3"/>
      <c r="N30" s="3"/>
      <c r="O30" s="3"/>
      <c r="P30" s="3"/>
      <c r="Q30" s="3"/>
      <c r="R30" s="3"/>
      <c r="S30" s="3"/>
      <c r="T30" s="3"/>
      <c r="U30" s="3"/>
      <c r="V30" s="3"/>
      <c r="W30" s="3"/>
      <c r="X30" s="3"/>
      <c r="Y30" s="3"/>
      <c r="Z30" s="3"/>
      <c r="AA30" s="52"/>
      <c r="AB30" s="52"/>
      <c r="AC30" s="52"/>
      <c r="AD30" s="52"/>
      <c r="AE30" s="52"/>
      <c r="AF30" s="52"/>
      <c r="AG30" s="52"/>
      <c r="AH30" s="52"/>
      <c r="AI30" s="52"/>
      <c r="AJ30" s="52"/>
      <c r="AK30" s="52"/>
    </row>
    <row r="31" spans="1:37">
      <c r="A31" s="3"/>
      <c r="B31" s="3"/>
      <c r="C31" s="3"/>
      <c r="D31" s="3"/>
      <c r="E31" s="3"/>
      <c r="F31" s="3"/>
      <c r="G31" s="3"/>
      <c r="H31" s="3"/>
      <c r="I31" s="3"/>
      <c r="J31" s="3"/>
      <c r="K31" s="3"/>
      <c r="L31" s="3"/>
      <c r="M31" s="3"/>
      <c r="N31" s="3"/>
      <c r="O31" s="3"/>
      <c r="P31" s="3"/>
      <c r="Q31" s="3"/>
      <c r="R31" s="3"/>
      <c r="S31" s="3"/>
      <c r="T31" s="3"/>
      <c r="U31" s="3"/>
      <c r="V31" s="3"/>
      <c r="W31" s="3"/>
      <c r="X31" s="3"/>
      <c r="Y31" s="3"/>
      <c r="Z31" s="3"/>
      <c r="AA31" s="52"/>
      <c r="AB31" s="52"/>
      <c r="AC31" s="52"/>
      <c r="AD31" s="52"/>
      <c r="AE31" s="52"/>
      <c r="AF31" s="52"/>
      <c r="AG31" s="52"/>
      <c r="AH31" s="52"/>
      <c r="AI31" s="52"/>
      <c r="AJ31" s="52"/>
      <c r="AK31" s="52"/>
    </row>
    <row r="32" spans="1:37">
      <c r="A32" s="3"/>
      <c r="B32" s="3"/>
      <c r="C32" s="3"/>
      <c r="D32" s="3"/>
      <c r="E32" s="3"/>
      <c r="F32" s="3"/>
      <c r="G32" s="3"/>
      <c r="H32" s="3"/>
      <c r="I32" s="3"/>
      <c r="J32" s="3"/>
      <c r="K32" s="3"/>
      <c r="L32" s="3"/>
      <c r="M32" s="3"/>
      <c r="N32" s="3"/>
      <c r="O32" s="3"/>
      <c r="P32" s="3"/>
      <c r="Q32" s="3"/>
      <c r="R32" s="3"/>
      <c r="S32" s="3"/>
      <c r="T32" s="3"/>
      <c r="U32" s="3"/>
      <c r="V32" s="3"/>
      <c r="W32" s="3"/>
      <c r="X32" s="3"/>
      <c r="Y32" s="3"/>
      <c r="Z32" s="3"/>
      <c r="AA32" s="52"/>
      <c r="AB32" s="52"/>
      <c r="AC32" s="52"/>
      <c r="AD32" s="52"/>
      <c r="AE32" s="52"/>
      <c r="AF32" s="52"/>
      <c r="AG32" s="52"/>
      <c r="AH32" s="52"/>
      <c r="AI32" s="52"/>
      <c r="AJ32" s="52"/>
      <c r="AK32" s="52"/>
    </row>
    <row r="33" spans="1:37">
      <c r="A33" s="3"/>
      <c r="B33" s="3"/>
      <c r="C33" s="3"/>
      <c r="D33" s="3"/>
      <c r="E33" s="3"/>
      <c r="F33" s="3"/>
      <c r="G33" s="3"/>
      <c r="H33" s="3"/>
      <c r="I33" s="3"/>
      <c r="J33" s="3"/>
      <c r="K33" s="3"/>
      <c r="L33" s="3"/>
      <c r="M33" s="3"/>
      <c r="N33" s="3"/>
      <c r="O33" s="3"/>
      <c r="P33" s="3"/>
      <c r="Q33" s="3"/>
      <c r="R33" s="3"/>
      <c r="S33" s="3"/>
      <c r="T33" s="3"/>
      <c r="U33" s="3"/>
      <c r="V33" s="3"/>
      <c r="W33" s="3"/>
      <c r="X33" s="3"/>
      <c r="Y33" s="3"/>
      <c r="Z33" s="3"/>
      <c r="AA33" s="52"/>
      <c r="AB33" s="52"/>
      <c r="AC33" s="52"/>
      <c r="AD33" s="52"/>
      <c r="AE33" s="52"/>
      <c r="AF33" s="52"/>
      <c r="AG33" s="52"/>
      <c r="AH33" s="52"/>
      <c r="AI33" s="52"/>
      <c r="AJ33" s="52"/>
      <c r="AK33" s="52"/>
    </row>
    <row r="34" spans="1:37">
      <c r="A34" s="3"/>
      <c r="B34" s="3"/>
      <c r="C34" s="3"/>
      <c r="D34" s="3"/>
      <c r="E34" s="3"/>
      <c r="F34" s="3"/>
      <c r="G34" s="3"/>
      <c r="H34" s="3"/>
      <c r="I34" s="3"/>
      <c r="J34" s="3"/>
      <c r="K34" s="3"/>
      <c r="L34" s="3"/>
      <c r="M34" s="3"/>
      <c r="N34" s="3"/>
      <c r="O34" s="3"/>
      <c r="P34" s="3"/>
      <c r="Q34" s="3"/>
      <c r="R34" s="3"/>
      <c r="S34" s="3"/>
      <c r="T34" s="3"/>
      <c r="U34" s="3"/>
      <c r="V34" s="3"/>
      <c r="W34" s="3"/>
      <c r="X34" s="3"/>
      <c r="Y34" s="3"/>
      <c r="Z34" s="3"/>
      <c r="AA34" s="52"/>
      <c r="AB34" s="52"/>
      <c r="AC34" s="52"/>
      <c r="AD34" s="52"/>
      <c r="AE34" s="52"/>
      <c r="AF34" s="52"/>
      <c r="AG34" s="52"/>
      <c r="AH34" s="52"/>
      <c r="AI34" s="52"/>
      <c r="AJ34" s="52"/>
      <c r="AK34" s="52"/>
    </row>
    <row r="35" spans="1:37">
      <c r="A35" s="3"/>
      <c r="B35" s="3"/>
      <c r="C35" s="3"/>
      <c r="D35" s="3"/>
      <c r="E35" s="3"/>
      <c r="F35" s="3"/>
      <c r="G35" s="3"/>
      <c r="H35" s="3"/>
      <c r="I35" s="3"/>
      <c r="J35" s="3"/>
      <c r="K35" s="3"/>
      <c r="L35" s="3"/>
      <c r="M35" s="3"/>
      <c r="N35" s="3"/>
      <c r="O35" s="3"/>
      <c r="P35" s="3"/>
      <c r="Q35" s="3"/>
      <c r="R35" s="3"/>
      <c r="S35" s="3"/>
      <c r="T35" s="3"/>
      <c r="U35" s="3"/>
      <c r="V35" s="3"/>
      <c r="W35" s="3"/>
      <c r="X35" s="3"/>
      <c r="Y35" s="3"/>
      <c r="Z35" s="3"/>
      <c r="AA35" s="52"/>
      <c r="AB35" s="52"/>
      <c r="AC35" s="52"/>
      <c r="AD35" s="52"/>
      <c r="AE35" s="52"/>
      <c r="AF35" s="52"/>
      <c r="AG35" s="52"/>
      <c r="AH35" s="52"/>
      <c r="AI35" s="52"/>
      <c r="AJ35" s="52"/>
      <c r="AK35" s="52"/>
    </row>
    <row r="36" spans="1:37">
      <c r="A36" s="3"/>
      <c r="B36" s="3"/>
      <c r="C36" s="3"/>
      <c r="D36" s="3"/>
      <c r="E36" s="3"/>
      <c r="F36" s="3"/>
      <c r="G36" s="3"/>
      <c r="H36" s="3"/>
      <c r="I36" s="3"/>
      <c r="J36" s="3"/>
      <c r="K36" s="3"/>
      <c r="L36" s="3"/>
      <c r="M36" s="3"/>
      <c r="N36" s="3"/>
      <c r="O36" s="3"/>
      <c r="P36" s="3"/>
      <c r="Q36" s="3"/>
      <c r="R36" s="3"/>
      <c r="S36" s="3"/>
      <c r="T36" s="3"/>
      <c r="U36" s="3"/>
      <c r="V36" s="3"/>
      <c r="W36" s="3"/>
      <c r="X36" s="3"/>
      <c r="Y36" s="3"/>
      <c r="Z36" s="3"/>
      <c r="AA36" s="52"/>
      <c r="AB36" s="52"/>
      <c r="AC36" s="52"/>
      <c r="AD36" s="52"/>
      <c r="AE36" s="52"/>
      <c r="AF36" s="52"/>
      <c r="AG36" s="52"/>
      <c r="AH36" s="52"/>
      <c r="AI36" s="52"/>
      <c r="AJ36" s="52"/>
      <c r="AK36" s="52"/>
    </row>
    <row r="37" spans="1:37">
      <c r="A37" s="3"/>
      <c r="B37" s="3"/>
      <c r="C37" s="3"/>
      <c r="D37" s="3"/>
      <c r="E37" s="3"/>
      <c r="F37" s="3"/>
      <c r="G37" s="3"/>
      <c r="H37" s="3"/>
      <c r="I37" s="3"/>
      <c r="J37" s="3"/>
      <c r="K37" s="3"/>
      <c r="L37" s="3"/>
      <c r="M37" s="3"/>
      <c r="N37" s="3"/>
      <c r="O37" s="3"/>
      <c r="P37" s="3"/>
      <c r="Q37" s="3"/>
      <c r="R37" s="3"/>
      <c r="S37" s="3"/>
      <c r="T37" s="3"/>
      <c r="U37" s="3"/>
      <c r="V37" s="3"/>
      <c r="W37" s="3"/>
      <c r="X37" s="3"/>
      <c r="Y37" s="3"/>
      <c r="Z37" s="3"/>
      <c r="AA37" s="52"/>
      <c r="AB37" s="52"/>
      <c r="AC37" s="52"/>
      <c r="AD37" s="52"/>
      <c r="AE37" s="52"/>
      <c r="AF37" s="52"/>
      <c r="AG37" s="52"/>
      <c r="AH37" s="52"/>
      <c r="AI37" s="52"/>
      <c r="AJ37" s="52"/>
      <c r="AK37" s="52"/>
    </row>
    <row r="38" spans="1:37">
      <c r="A38" s="3"/>
      <c r="B38" s="3"/>
      <c r="C38" s="3"/>
      <c r="D38" s="3"/>
      <c r="E38" s="3"/>
      <c r="F38" s="3"/>
      <c r="G38" s="3"/>
      <c r="H38" s="3"/>
      <c r="I38" s="3"/>
      <c r="J38" s="3"/>
      <c r="K38" s="3"/>
      <c r="L38" s="3"/>
      <c r="M38" s="3"/>
      <c r="N38" s="3"/>
      <c r="O38" s="3"/>
      <c r="P38" s="3"/>
      <c r="Q38" s="3"/>
      <c r="R38" s="3"/>
      <c r="S38" s="3"/>
      <c r="T38" s="3"/>
      <c r="U38" s="3"/>
      <c r="V38" s="3"/>
      <c r="W38" s="3"/>
      <c r="X38" s="3"/>
      <c r="Y38" s="3"/>
      <c r="Z38" s="3"/>
      <c r="AA38" s="52"/>
      <c r="AB38" s="52"/>
      <c r="AC38" s="52"/>
      <c r="AD38" s="52"/>
      <c r="AE38" s="52"/>
      <c r="AF38" s="52"/>
      <c r="AG38" s="52"/>
      <c r="AH38" s="52"/>
      <c r="AI38" s="52"/>
      <c r="AJ38" s="52"/>
      <c r="AK38" s="52"/>
    </row>
    <row r="39" spans="1:37">
      <c r="A39" s="3"/>
      <c r="B39" s="3"/>
      <c r="C39" s="3"/>
      <c r="D39" s="3"/>
      <c r="E39" s="3"/>
      <c r="F39" s="3"/>
      <c r="G39" s="3"/>
      <c r="H39" s="3"/>
      <c r="I39" s="3"/>
      <c r="J39" s="3"/>
      <c r="K39" s="3"/>
      <c r="L39" s="3"/>
      <c r="M39" s="3"/>
      <c r="N39" s="3"/>
      <c r="O39" s="3"/>
      <c r="P39" s="3"/>
      <c r="Q39" s="3"/>
      <c r="R39" s="3"/>
      <c r="S39" s="3"/>
      <c r="T39" s="3"/>
      <c r="U39" s="3"/>
      <c r="V39" s="3"/>
      <c r="W39" s="3"/>
      <c r="X39" s="3"/>
      <c r="Y39" s="3"/>
      <c r="Z39" s="3"/>
      <c r="AA39" s="52"/>
      <c r="AB39" s="52"/>
      <c r="AC39" s="52"/>
      <c r="AD39" s="52"/>
      <c r="AE39" s="52"/>
      <c r="AF39" s="52"/>
      <c r="AG39" s="52"/>
      <c r="AH39" s="52"/>
      <c r="AI39" s="52"/>
      <c r="AJ39" s="52"/>
      <c r="AK39" s="52"/>
    </row>
    <row r="40" spans="1:37">
      <c r="A40" s="3"/>
      <c r="B40" s="3"/>
      <c r="C40" s="3"/>
      <c r="D40" s="3"/>
      <c r="E40" s="3"/>
      <c r="F40" s="3"/>
      <c r="G40" s="3"/>
      <c r="H40" s="3"/>
      <c r="I40" s="3"/>
      <c r="J40" s="3"/>
      <c r="K40" s="3"/>
      <c r="L40" s="3"/>
      <c r="M40" s="3"/>
      <c r="N40" s="3"/>
      <c r="O40" s="3"/>
      <c r="P40" s="3"/>
      <c r="Q40" s="3"/>
      <c r="R40" s="3"/>
      <c r="S40" s="3"/>
      <c r="T40" s="3"/>
      <c r="U40" s="3"/>
      <c r="V40" s="3"/>
      <c r="W40" s="3"/>
      <c r="X40" s="3"/>
      <c r="Y40" s="3"/>
      <c r="Z40" s="3"/>
      <c r="AA40" s="52"/>
      <c r="AB40" s="52"/>
      <c r="AC40" s="52"/>
      <c r="AD40" s="52"/>
      <c r="AE40" s="52"/>
      <c r="AF40" s="52"/>
      <c r="AG40" s="52"/>
      <c r="AH40" s="52"/>
      <c r="AI40" s="52"/>
      <c r="AJ40" s="52"/>
      <c r="AK40" s="52"/>
    </row>
    <row r="41" spans="1:37">
      <c r="A41" s="3"/>
      <c r="B41" s="3"/>
      <c r="C41" s="3"/>
      <c r="D41" s="3"/>
      <c r="E41" s="3"/>
      <c r="F41" s="3"/>
      <c r="G41" s="3"/>
      <c r="H41" s="3"/>
      <c r="I41" s="3"/>
      <c r="J41" s="3"/>
      <c r="K41" s="3"/>
      <c r="L41" s="3"/>
      <c r="M41" s="3"/>
      <c r="N41" s="3"/>
      <c r="O41" s="3"/>
      <c r="P41" s="3"/>
      <c r="Q41" s="3"/>
      <c r="R41" s="3"/>
      <c r="S41" s="3"/>
      <c r="T41" s="3"/>
      <c r="U41" s="3"/>
      <c r="V41" s="3"/>
      <c r="W41" s="3"/>
      <c r="X41" s="3"/>
      <c r="Y41" s="3"/>
      <c r="Z41" s="3"/>
      <c r="AA41" s="52"/>
      <c r="AB41" s="52"/>
      <c r="AC41" s="52"/>
      <c r="AD41" s="52"/>
      <c r="AE41" s="52"/>
      <c r="AF41" s="52"/>
      <c r="AG41" s="52"/>
      <c r="AH41" s="52"/>
      <c r="AI41" s="52"/>
      <c r="AJ41" s="52"/>
      <c r="AK41" s="52"/>
    </row>
    <row r="42" spans="1:37">
      <c r="A42" s="3"/>
      <c r="B42" s="3"/>
      <c r="C42" s="3"/>
      <c r="D42" s="3"/>
      <c r="E42" s="3"/>
      <c r="F42" s="3"/>
      <c r="G42" s="3"/>
      <c r="H42" s="3"/>
      <c r="I42" s="3"/>
      <c r="J42" s="3"/>
      <c r="K42" s="3"/>
      <c r="L42" s="3"/>
      <c r="M42" s="3"/>
      <c r="N42" s="3"/>
      <c r="O42" s="3"/>
      <c r="P42" s="3"/>
      <c r="Q42" s="3"/>
      <c r="R42" s="3"/>
      <c r="S42" s="3"/>
      <c r="T42" s="3"/>
      <c r="U42" s="3"/>
      <c r="V42" s="3"/>
      <c r="W42" s="3"/>
      <c r="X42" s="3"/>
      <c r="Y42" s="3"/>
      <c r="Z42" s="3"/>
      <c r="AA42" s="52"/>
      <c r="AB42" s="52"/>
      <c r="AC42" s="52"/>
      <c r="AD42" s="52"/>
      <c r="AE42" s="52"/>
      <c r="AF42" s="52"/>
      <c r="AG42" s="52"/>
      <c r="AH42" s="52"/>
      <c r="AI42" s="52"/>
      <c r="AJ42" s="52"/>
      <c r="AK42" s="52"/>
    </row>
    <row r="43" spans="1:37">
      <c r="A43" s="3"/>
      <c r="B43" s="3"/>
      <c r="C43" s="3"/>
      <c r="D43" s="3"/>
      <c r="E43" s="3"/>
      <c r="F43" s="3"/>
      <c r="G43" s="3"/>
      <c r="H43" s="3"/>
      <c r="I43" s="3"/>
      <c r="J43" s="3"/>
      <c r="K43" s="3"/>
      <c r="L43" s="3"/>
      <c r="M43" s="3"/>
      <c r="N43" s="3"/>
      <c r="O43" s="3"/>
      <c r="P43" s="3"/>
      <c r="Q43" s="3"/>
      <c r="R43" s="3"/>
      <c r="S43" s="3"/>
      <c r="T43" s="3"/>
      <c r="U43" s="3"/>
      <c r="V43" s="3"/>
      <c r="W43" s="3"/>
      <c r="X43" s="3"/>
      <c r="Y43" s="3"/>
      <c r="Z43" s="3"/>
      <c r="AA43" s="52"/>
      <c r="AB43" s="52"/>
      <c r="AC43" s="52"/>
      <c r="AD43" s="52"/>
      <c r="AE43" s="52"/>
      <c r="AF43" s="52"/>
      <c r="AG43" s="52"/>
      <c r="AH43" s="52"/>
      <c r="AI43" s="52"/>
      <c r="AJ43" s="52"/>
      <c r="AK43" s="52"/>
    </row>
    <row r="44" spans="1:37">
      <c r="A44" s="3"/>
      <c r="B44" s="3"/>
      <c r="C44" s="3"/>
      <c r="D44" s="3"/>
      <c r="E44" s="3"/>
      <c r="F44" s="3"/>
      <c r="G44" s="3"/>
      <c r="H44" s="3"/>
      <c r="I44" s="3"/>
      <c r="J44" s="3"/>
      <c r="K44" s="3"/>
      <c r="L44" s="3"/>
      <c r="M44" s="3"/>
      <c r="N44" s="3"/>
      <c r="O44" s="3"/>
      <c r="P44" s="3"/>
      <c r="Q44" s="3"/>
      <c r="R44" s="3"/>
      <c r="S44" s="3"/>
      <c r="T44" s="3"/>
      <c r="U44" s="3"/>
      <c r="V44" s="3"/>
      <c r="W44" s="3"/>
      <c r="X44" s="3"/>
      <c r="Y44" s="3"/>
      <c r="Z44" s="3"/>
      <c r="AA44" s="52"/>
      <c r="AB44" s="52"/>
      <c r="AC44" s="52"/>
      <c r="AD44" s="52"/>
      <c r="AE44" s="52"/>
      <c r="AF44" s="52"/>
      <c r="AG44" s="52"/>
      <c r="AH44" s="52"/>
      <c r="AI44" s="52"/>
      <c r="AJ44" s="52"/>
      <c r="AK44" s="52"/>
    </row>
    <row r="45" spans="1:37">
      <c r="A45" s="3"/>
      <c r="B45" s="3"/>
      <c r="C45" s="3"/>
      <c r="D45" s="3"/>
      <c r="E45" s="3"/>
      <c r="F45" s="3"/>
      <c r="G45" s="3"/>
      <c r="H45" s="3"/>
      <c r="I45" s="3"/>
      <c r="J45" s="3"/>
      <c r="K45" s="3"/>
      <c r="L45" s="3"/>
      <c r="M45" s="3"/>
      <c r="N45" s="3"/>
      <c r="O45" s="3"/>
      <c r="P45" s="3"/>
      <c r="Q45" s="3"/>
      <c r="R45" s="3"/>
      <c r="S45" s="3"/>
      <c r="T45" s="3"/>
      <c r="U45" s="3"/>
      <c r="V45" s="3"/>
      <c r="W45" s="3"/>
      <c r="X45" s="3"/>
      <c r="Y45" s="3"/>
      <c r="Z45" s="3"/>
      <c r="AA45" s="52"/>
      <c r="AB45" s="52"/>
      <c r="AC45" s="52"/>
      <c r="AD45" s="52"/>
      <c r="AE45" s="52"/>
      <c r="AF45" s="52"/>
      <c r="AG45" s="52"/>
      <c r="AH45" s="52"/>
      <c r="AI45" s="52"/>
      <c r="AJ45" s="52"/>
      <c r="AK45" s="52"/>
    </row>
    <row r="46" spans="1:37">
      <c r="A46" s="3"/>
      <c r="B46" s="3"/>
      <c r="C46" s="3"/>
      <c r="D46" s="3"/>
      <c r="E46" s="3"/>
      <c r="F46" s="3"/>
      <c r="G46" s="3"/>
      <c r="H46" s="3"/>
      <c r="I46" s="3"/>
      <c r="J46" s="3"/>
      <c r="K46" s="3"/>
      <c r="L46" s="3"/>
      <c r="M46" s="3"/>
      <c r="N46" s="3"/>
      <c r="O46" s="3"/>
      <c r="P46" s="3"/>
      <c r="Q46" s="3"/>
      <c r="R46" s="3"/>
      <c r="S46" s="3"/>
      <c r="T46" s="3"/>
      <c r="U46" s="3"/>
      <c r="V46" s="3"/>
      <c r="W46" s="3"/>
      <c r="X46" s="3"/>
      <c r="Y46" s="3"/>
      <c r="Z46" s="3"/>
      <c r="AA46" s="52"/>
      <c r="AB46" s="52"/>
      <c r="AC46" s="52"/>
      <c r="AD46" s="52"/>
      <c r="AE46" s="52"/>
      <c r="AF46" s="52"/>
      <c r="AG46" s="52"/>
      <c r="AH46" s="52"/>
      <c r="AI46" s="52"/>
      <c r="AJ46" s="52"/>
      <c r="AK46" s="52"/>
    </row>
    <row r="47" spans="1:37">
      <c r="A47" s="3"/>
      <c r="B47" s="3"/>
      <c r="C47" s="3"/>
      <c r="D47" s="3"/>
      <c r="E47" s="3"/>
      <c r="F47" s="3"/>
      <c r="G47" s="3"/>
      <c r="H47" s="3"/>
      <c r="I47" s="3"/>
      <c r="J47" s="3"/>
      <c r="K47" s="3"/>
      <c r="L47" s="3"/>
      <c r="M47" s="3"/>
      <c r="N47" s="3"/>
      <c r="O47" s="3"/>
      <c r="P47" s="3"/>
      <c r="Q47" s="3"/>
      <c r="R47" s="3"/>
      <c r="S47" s="3"/>
      <c r="T47" s="3"/>
      <c r="U47" s="3"/>
      <c r="V47" s="3"/>
      <c r="W47" s="3"/>
      <c r="X47" s="3"/>
      <c r="Y47" s="3"/>
      <c r="Z47" s="3"/>
      <c r="AA47" s="52"/>
      <c r="AB47" s="52"/>
      <c r="AC47" s="52"/>
      <c r="AD47" s="52"/>
      <c r="AE47" s="52"/>
      <c r="AF47" s="52"/>
      <c r="AG47" s="52"/>
      <c r="AH47" s="52"/>
      <c r="AI47" s="52"/>
      <c r="AJ47" s="52"/>
      <c r="AK47" s="52"/>
    </row>
    <row r="48" spans="1:37">
      <c r="A48" s="3"/>
      <c r="B48" s="3"/>
      <c r="C48" s="3"/>
      <c r="D48" s="3"/>
      <c r="E48" s="3"/>
      <c r="F48" s="3"/>
      <c r="G48" s="3"/>
      <c r="H48" s="3"/>
      <c r="I48" s="3"/>
      <c r="J48" s="3"/>
      <c r="K48" s="3"/>
      <c r="L48" s="3"/>
      <c r="M48" s="3"/>
      <c r="N48" s="3"/>
      <c r="O48" s="3"/>
      <c r="P48" s="3"/>
      <c r="Q48" s="3"/>
      <c r="R48" s="3"/>
      <c r="S48" s="3"/>
      <c r="T48" s="3"/>
      <c r="U48" s="3"/>
      <c r="V48" s="3"/>
      <c r="W48" s="3"/>
      <c r="X48" s="3"/>
      <c r="Y48" s="3"/>
      <c r="Z48" s="3"/>
      <c r="AA48" s="52"/>
      <c r="AB48" s="52"/>
      <c r="AC48" s="52"/>
      <c r="AD48" s="52"/>
      <c r="AE48" s="52"/>
      <c r="AF48" s="52"/>
      <c r="AG48" s="52"/>
      <c r="AH48" s="52"/>
      <c r="AI48" s="52"/>
      <c r="AJ48" s="52"/>
      <c r="AK48" s="52"/>
    </row>
    <row r="49" spans="1:37">
      <c r="A49" s="3"/>
      <c r="B49" s="3"/>
      <c r="C49" s="3"/>
      <c r="D49" s="3"/>
      <c r="E49" s="3"/>
      <c r="F49" s="3"/>
      <c r="G49" s="3"/>
      <c r="H49" s="3"/>
      <c r="I49" s="3"/>
      <c r="J49" s="3"/>
      <c r="K49" s="3"/>
      <c r="L49" s="3"/>
      <c r="M49" s="3"/>
      <c r="N49" s="3"/>
      <c r="O49" s="3"/>
      <c r="P49" s="3"/>
      <c r="Q49" s="3"/>
      <c r="R49" s="3"/>
      <c r="S49" s="3"/>
      <c r="T49" s="3"/>
      <c r="U49" s="3"/>
      <c r="V49" s="3"/>
      <c r="W49" s="3"/>
      <c r="X49" s="3"/>
      <c r="Y49" s="3"/>
      <c r="Z49" s="3"/>
      <c r="AA49" s="52"/>
      <c r="AB49" s="52"/>
      <c r="AC49" s="52"/>
      <c r="AD49" s="52"/>
      <c r="AE49" s="52"/>
      <c r="AF49" s="52"/>
      <c r="AG49" s="52"/>
      <c r="AH49" s="52"/>
      <c r="AI49" s="52"/>
      <c r="AJ49" s="52"/>
      <c r="AK49" s="52"/>
    </row>
    <row r="50" spans="1:37">
      <c r="A50" s="3"/>
      <c r="B50" s="3"/>
      <c r="C50" s="3"/>
      <c r="D50" s="3"/>
      <c r="E50" s="3"/>
      <c r="F50" s="3"/>
      <c r="G50" s="3"/>
      <c r="H50" s="3"/>
      <c r="I50" s="3"/>
      <c r="J50" s="3"/>
      <c r="K50" s="3"/>
      <c r="L50" s="3"/>
      <c r="M50" s="3"/>
      <c r="N50" s="3"/>
      <c r="O50" s="3"/>
      <c r="P50" s="3"/>
      <c r="Q50" s="3"/>
      <c r="R50" s="3"/>
      <c r="S50" s="3"/>
      <c r="T50" s="3"/>
      <c r="U50" s="3"/>
      <c r="V50" s="3"/>
      <c r="W50" s="3"/>
      <c r="X50" s="3"/>
      <c r="Y50" s="3"/>
      <c r="Z50" s="3"/>
      <c r="AA50" s="52"/>
      <c r="AB50" s="52"/>
      <c r="AC50" s="52"/>
      <c r="AD50" s="52"/>
      <c r="AE50" s="52"/>
      <c r="AF50" s="52"/>
      <c r="AG50" s="52"/>
      <c r="AH50" s="52"/>
      <c r="AI50" s="52"/>
      <c r="AJ50" s="52"/>
      <c r="AK50" s="52"/>
    </row>
    <row r="51" spans="1:37">
      <c r="A51" s="3"/>
      <c r="B51" s="3"/>
      <c r="C51" s="3"/>
      <c r="D51" s="3"/>
      <c r="E51" s="3"/>
      <c r="F51" s="3"/>
      <c r="G51" s="3"/>
      <c r="H51" s="3"/>
      <c r="I51" s="3"/>
      <c r="J51" s="3"/>
      <c r="K51" s="3"/>
      <c r="L51" s="3"/>
      <c r="M51" s="3"/>
      <c r="N51" s="3"/>
      <c r="O51" s="3"/>
      <c r="P51" s="3"/>
      <c r="Q51" s="3"/>
      <c r="R51" s="3"/>
      <c r="S51" s="3"/>
      <c r="T51" s="3"/>
      <c r="U51" s="3"/>
      <c r="V51" s="3"/>
      <c r="W51" s="3"/>
      <c r="X51" s="3"/>
      <c r="Y51" s="3"/>
      <c r="Z51" s="3"/>
      <c r="AA51" s="52"/>
      <c r="AB51" s="52"/>
      <c r="AC51" s="52"/>
      <c r="AD51" s="52"/>
      <c r="AE51" s="52"/>
      <c r="AF51" s="52"/>
      <c r="AG51" s="52"/>
      <c r="AH51" s="52"/>
      <c r="AI51" s="52"/>
      <c r="AJ51" s="52"/>
      <c r="AK51" s="52"/>
    </row>
    <row r="52" spans="1:37">
      <c r="A52" s="3"/>
      <c r="B52" s="3"/>
      <c r="C52" s="3"/>
      <c r="D52" s="3"/>
      <c r="E52" s="3"/>
      <c r="F52" s="3"/>
      <c r="G52" s="3"/>
      <c r="H52" s="3"/>
      <c r="I52" s="3"/>
      <c r="J52" s="3"/>
      <c r="K52" s="3"/>
      <c r="L52" s="3"/>
      <c r="M52" s="3"/>
      <c r="N52" s="3"/>
      <c r="O52" s="3"/>
      <c r="P52" s="3"/>
      <c r="Q52" s="3"/>
      <c r="R52" s="3"/>
      <c r="S52" s="3"/>
      <c r="T52" s="3"/>
      <c r="U52" s="3"/>
      <c r="V52" s="3"/>
      <c r="W52" s="3"/>
      <c r="X52" s="3"/>
      <c r="Y52" s="3"/>
      <c r="Z52" s="3"/>
      <c r="AA52" s="52"/>
      <c r="AB52" s="52"/>
      <c r="AC52" s="52"/>
      <c r="AD52" s="52"/>
      <c r="AE52" s="52"/>
      <c r="AF52" s="52"/>
      <c r="AG52" s="52"/>
      <c r="AH52" s="52"/>
      <c r="AI52" s="52"/>
      <c r="AJ52" s="52"/>
      <c r="AK52" s="52"/>
    </row>
    <row r="53" spans="1:37">
      <c r="A53" s="3"/>
      <c r="B53" s="3"/>
      <c r="C53" s="3"/>
      <c r="D53" s="3"/>
      <c r="E53" s="3"/>
      <c r="F53" s="3"/>
      <c r="G53" s="3"/>
      <c r="H53" s="3"/>
      <c r="I53" s="3"/>
      <c r="J53" s="3"/>
      <c r="K53" s="3"/>
      <c r="L53" s="3"/>
      <c r="M53" s="3"/>
      <c r="N53" s="3"/>
      <c r="O53" s="3"/>
      <c r="P53" s="3"/>
      <c r="Q53" s="3"/>
      <c r="R53" s="3"/>
      <c r="S53" s="3"/>
      <c r="T53" s="3"/>
      <c r="U53" s="3"/>
      <c r="V53" s="3"/>
      <c r="W53" s="3"/>
      <c r="X53" s="3"/>
      <c r="Y53" s="3"/>
      <c r="Z53" s="3"/>
      <c r="AA53" s="52"/>
      <c r="AB53" s="52"/>
      <c r="AC53" s="52"/>
      <c r="AD53" s="52"/>
      <c r="AE53" s="52"/>
      <c r="AF53" s="52"/>
      <c r="AG53" s="52"/>
      <c r="AH53" s="52"/>
      <c r="AI53" s="52"/>
      <c r="AJ53" s="52"/>
      <c r="AK53" s="52"/>
    </row>
    <row r="54" spans="1:37">
      <c r="A54" s="3"/>
      <c r="B54" s="3"/>
      <c r="C54" s="3"/>
      <c r="D54" s="3"/>
      <c r="E54" s="3"/>
      <c r="F54" s="3"/>
      <c r="G54" s="3"/>
      <c r="H54" s="3"/>
      <c r="I54" s="3"/>
      <c r="J54" s="3"/>
      <c r="K54" s="3"/>
      <c r="L54" s="3"/>
      <c r="M54" s="3"/>
      <c r="N54" s="3"/>
      <c r="O54" s="3"/>
      <c r="P54" s="3"/>
      <c r="Q54" s="3"/>
      <c r="R54" s="3"/>
      <c r="S54" s="3"/>
      <c r="T54" s="3"/>
      <c r="U54" s="3"/>
      <c r="V54" s="3"/>
      <c r="W54" s="3"/>
      <c r="X54" s="3"/>
      <c r="Y54" s="3"/>
      <c r="Z54" s="3"/>
      <c r="AA54" s="52"/>
      <c r="AB54" s="52"/>
      <c r="AC54" s="52"/>
      <c r="AD54" s="52"/>
      <c r="AE54" s="52"/>
      <c r="AF54" s="52"/>
      <c r="AG54" s="52"/>
      <c r="AH54" s="52"/>
      <c r="AI54" s="52"/>
      <c r="AJ54" s="52"/>
      <c r="AK54" s="52"/>
    </row>
    <row r="55" spans="1:37">
      <c r="A55" s="3"/>
      <c r="B55" s="3"/>
      <c r="C55" s="3"/>
      <c r="D55" s="3"/>
      <c r="E55" s="3"/>
      <c r="F55" s="3"/>
      <c r="G55" s="3"/>
      <c r="H55" s="3"/>
      <c r="I55" s="3"/>
      <c r="J55" s="3"/>
      <c r="K55" s="3"/>
      <c r="L55" s="3"/>
      <c r="M55" s="3"/>
      <c r="N55" s="3"/>
      <c r="O55" s="3"/>
      <c r="P55" s="3"/>
      <c r="Q55" s="3"/>
      <c r="R55" s="3"/>
      <c r="S55" s="3"/>
      <c r="T55" s="3"/>
      <c r="U55" s="3"/>
      <c r="V55" s="3"/>
      <c r="W55" s="3"/>
      <c r="X55" s="3"/>
      <c r="Y55" s="3"/>
      <c r="Z55" s="3"/>
      <c r="AA55" s="52"/>
      <c r="AB55" s="52"/>
      <c r="AC55" s="52"/>
      <c r="AD55" s="52"/>
      <c r="AE55" s="52"/>
      <c r="AF55" s="52"/>
      <c r="AG55" s="52"/>
      <c r="AH55" s="52"/>
      <c r="AI55" s="52"/>
      <c r="AJ55" s="52"/>
      <c r="AK55" s="52"/>
    </row>
    <row r="56" spans="1:37">
      <c r="A56" s="3"/>
      <c r="B56" s="3"/>
      <c r="C56" s="3"/>
      <c r="D56" s="3"/>
      <c r="E56" s="3"/>
      <c r="F56" s="3"/>
      <c r="G56" s="3"/>
      <c r="H56" s="3"/>
      <c r="I56" s="3"/>
      <c r="J56" s="3"/>
      <c r="K56" s="3"/>
      <c r="L56" s="3"/>
      <c r="M56" s="3"/>
      <c r="N56" s="3"/>
      <c r="O56" s="3"/>
      <c r="P56" s="3"/>
      <c r="Q56" s="3"/>
      <c r="R56" s="3"/>
      <c r="S56" s="3"/>
      <c r="T56" s="3"/>
      <c r="U56" s="3"/>
      <c r="V56" s="3"/>
      <c r="W56" s="3"/>
      <c r="X56" s="3"/>
      <c r="Y56" s="3"/>
      <c r="Z56" s="3"/>
      <c r="AA56" s="52"/>
      <c r="AB56" s="52"/>
      <c r="AC56" s="52"/>
      <c r="AD56" s="52"/>
      <c r="AE56" s="52"/>
      <c r="AF56" s="52"/>
      <c r="AG56" s="52"/>
      <c r="AH56" s="52"/>
      <c r="AI56" s="52"/>
      <c r="AJ56" s="52"/>
      <c r="AK56" s="52"/>
    </row>
    <row r="57" spans="1:37">
      <c r="A57" s="3"/>
      <c r="B57" s="3"/>
      <c r="C57" s="3"/>
      <c r="D57" s="3"/>
      <c r="E57" s="3"/>
      <c r="F57" s="3"/>
      <c r="G57" s="3"/>
      <c r="H57" s="3"/>
      <c r="I57" s="3"/>
      <c r="J57" s="3"/>
      <c r="K57" s="3"/>
      <c r="L57" s="3"/>
      <c r="M57" s="3"/>
      <c r="N57" s="3"/>
      <c r="O57" s="3"/>
      <c r="P57" s="3"/>
      <c r="Q57" s="3"/>
      <c r="R57" s="3"/>
      <c r="S57" s="3"/>
      <c r="T57" s="3"/>
      <c r="U57" s="3"/>
      <c r="V57" s="3"/>
      <c r="W57" s="3"/>
      <c r="X57" s="3"/>
      <c r="Y57" s="3"/>
      <c r="Z57" s="3"/>
      <c r="AA57" s="52"/>
      <c r="AB57" s="52"/>
      <c r="AC57" s="52"/>
      <c r="AD57" s="52"/>
      <c r="AE57" s="52"/>
      <c r="AF57" s="52"/>
      <c r="AG57" s="52"/>
      <c r="AH57" s="52"/>
      <c r="AI57" s="52"/>
      <c r="AJ57" s="52"/>
      <c r="AK57" s="52"/>
    </row>
    <row r="58" spans="1:37">
      <c r="A58" s="3"/>
      <c r="B58" s="3"/>
      <c r="C58" s="3"/>
      <c r="D58" s="3"/>
      <c r="E58" s="3"/>
      <c r="F58" s="3"/>
      <c r="G58" s="3"/>
      <c r="H58" s="3"/>
      <c r="I58" s="3"/>
      <c r="J58" s="3"/>
      <c r="K58" s="3"/>
      <c r="L58" s="3"/>
      <c r="M58" s="3"/>
      <c r="N58" s="3"/>
      <c r="O58" s="3"/>
      <c r="P58" s="3"/>
      <c r="Q58" s="3"/>
      <c r="R58" s="3"/>
      <c r="S58" s="3"/>
      <c r="T58" s="3"/>
      <c r="U58" s="3"/>
      <c r="V58" s="3"/>
      <c r="W58" s="3"/>
      <c r="X58" s="3"/>
      <c r="Y58" s="3"/>
      <c r="Z58" s="3"/>
      <c r="AA58" s="52"/>
      <c r="AB58" s="52"/>
      <c r="AC58" s="52"/>
      <c r="AD58" s="52"/>
      <c r="AE58" s="52"/>
      <c r="AF58" s="52"/>
      <c r="AG58" s="52"/>
      <c r="AH58" s="52"/>
      <c r="AI58" s="52"/>
      <c r="AJ58" s="52"/>
      <c r="AK58" s="52"/>
    </row>
    <row r="59" spans="1:37">
      <c r="A59" s="3"/>
      <c r="B59" s="3"/>
      <c r="C59" s="3"/>
      <c r="D59" s="3"/>
      <c r="E59" s="3"/>
      <c r="F59" s="3"/>
      <c r="G59" s="3"/>
      <c r="H59" s="3"/>
      <c r="I59" s="3"/>
      <c r="J59" s="3"/>
      <c r="K59" s="3"/>
      <c r="L59" s="3"/>
      <c r="M59" s="3"/>
      <c r="N59" s="3"/>
      <c r="O59" s="3"/>
      <c r="P59" s="3"/>
      <c r="Q59" s="3"/>
      <c r="R59" s="3"/>
      <c r="S59" s="3"/>
      <c r="T59" s="3"/>
      <c r="U59" s="3"/>
      <c r="V59" s="3"/>
      <c r="W59" s="3"/>
      <c r="X59" s="3"/>
      <c r="Y59" s="3"/>
      <c r="Z59" s="3"/>
      <c r="AA59" s="52"/>
      <c r="AB59" s="52"/>
      <c r="AC59" s="52"/>
      <c r="AD59" s="52"/>
      <c r="AE59" s="52"/>
      <c r="AF59" s="52"/>
      <c r="AG59" s="52"/>
      <c r="AH59" s="52"/>
      <c r="AI59" s="52"/>
      <c r="AJ59" s="52"/>
      <c r="AK59" s="52"/>
    </row>
    <row r="60" spans="1:37">
      <c r="A60" s="3"/>
      <c r="B60" s="3"/>
      <c r="C60" s="3"/>
      <c r="D60" s="3"/>
      <c r="E60" s="3"/>
      <c r="F60" s="3"/>
      <c r="G60" s="3"/>
      <c r="H60" s="3"/>
      <c r="I60" s="3"/>
      <c r="J60" s="3"/>
      <c r="K60" s="3"/>
      <c r="L60" s="3"/>
      <c r="M60" s="3"/>
      <c r="N60" s="3"/>
      <c r="O60" s="3"/>
      <c r="P60" s="3"/>
      <c r="Q60" s="3"/>
      <c r="R60" s="3"/>
      <c r="S60" s="3"/>
      <c r="T60" s="3"/>
      <c r="U60" s="3"/>
      <c r="V60" s="3"/>
      <c r="W60" s="3"/>
      <c r="X60" s="3"/>
      <c r="Y60" s="3"/>
      <c r="Z60" s="3"/>
      <c r="AA60" s="52"/>
      <c r="AB60" s="52"/>
      <c r="AC60" s="52"/>
      <c r="AD60" s="52"/>
      <c r="AE60" s="52"/>
      <c r="AF60" s="52"/>
      <c r="AG60" s="52"/>
      <c r="AH60" s="52"/>
      <c r="AI60" s="52"/>
      <c r="AJ60" s="52"/>
      <c r="AK60" s="52"/>
    </row>
    <row r="61" spans="1:37">
      <c r="A61" s="3"/>
      <c r="B61" s="3"/>
      <c r="C61" s="3"/>
      <c r="D61" s="3"/>
      <c r="E61" s="3"/>
      <c r="F61" s="3"/>
      <c r="G61" s="3"/>
      <c r="H61" s="3"/>
      <c r="I61" s="3"/>
      <c r="J61" s="3"/>
      <c r="K61" s="3"/>
      <c r="L61" s="3"/>
      <c r="M61" s="3"/>
      <c r="N61" s="3"/>
      <c r="O61" s="3"/>
      <c r="P61" s="3"/>
      <c r="Q61" s="3"/>
      <c r="R61" s="3"/>
      <c r="S61" s="3"/>
      <c r="T61" s="3"/>
      <c r="U61" s="3"/>
      <c r="V61" s="3"/>
      <c r="W61" s="3"/>
      <c r="X61" s="3"/>
      <c r="Y61" s="3"/>
      <c r="Z61" s="3"/>
      <c r="AA61" s="52"/>
      <c r="AB61" s="52"/>
      <c r="AC61" s="52"/>
      <c r="AD61" s="52"/>
      <c r="AE61" s="52"/>
      <c r="AF61" s="52"/>
      <c r="AG61" s="52"/>
      <c r="AH61" s="52"/>
      <c r="AI61" s="52"/>
      <c r="AJ61" s="52"/>
      <c r="AK61" s="52"/>
    </row>
    <row r="62" spans="1:37">
      <c r="A62" s="3"/>
      <c r="B62" s="3"/>
      <c r="C62" s="3"/>
      <c r="D62" s="3"/>
      <c r="E62" s="3"/>
      <c r="F62" s="3"/>
      <c r="G62" s="3"/>
      <c r="H62" s="3"/>
      <c r="I62" s="3"/>
      <c r="J62" s="3"/>
      <c r="K62" s="3"/>
      <c r="L62" s="3"/>
      <c r="M62" s="3"/>
      <c r="N62" s="3"/>
      <c r="O62" s="3"/>
      <c r="P62" s="3"/>
      <c r="Q62" s="3"/>
      <c r="R62" s="3"/>
      <c r="S62" s="3"/>
      <c r="T62" s="3"/>
      <c r="U62" s="3"/>
      <c r="V62" s="3"/>
      <c r="W62" s="3"/>
      <c r="X62" s="3"/>
      <c r="Y62" s="3"/>
      <c r="Z62" s="3"/>
      <c r="AA62" s="52"/>
      <c r="AB62" s="52"/>
      <c r="AC62" s="52"/>
      <c r="AD62" s="52"/>
      <c r="AE62" s="52"/>
      <c r="AF62" s="52"/>
      <c r="AG62" s="52"/>
      <c r="AH62" s="52"/>
      <c r="AI62" s="52"/>
      <c r="AJ62" s="52"/>
      <c r="AK62" s="52"/>
    </row>
    <row r="63" spans="1:37">
      <c r="A63" s="3"/>
      <c r="B63" s="3"/>
      <c r="C63" s="3"/>
      <c r="D63" s="3"/>
      <c r="E63" s="3"/>
      <c r="F63" s="3"/>
      <c r="G63" s="3"/>
      <c r="H63" s="3"/>
      <c r="I63" s="3"/>
      <c r="J63" s="3"/>
      <c r="K63" s="3"/>
      <c r="L63" s="3"/>
      <c r="M63" s="3"/>
      <c r="N63" s="3"/>
      <c r="O63" s="3"/>
      <c r="P63" s="3"/>
      <c r="Q63" s="3"/>
      <c r="R63" s="3"/>
      <c r="S63" s="3"/>
      <c r="T63" s="3"/>
      <c r="U63" s="3"/>
      <c r="V63" s="3"/>
      <c r="W63" s="3"/>
      <c r="X63" s="3"/>
      <c r="Y63" s="3"/>
      <c r="Z63" s="3"/>
      <c r="AA63" s="52"/>
      <c r="AB63" s="52"/>
      <c r="AC63" s="52"/>
      <c r="AD63" s="52"/>
      <c r="AE63" s="52"/>
      <c r="AF63" s="52"/>
      <c r="AG63" s="52"/>
      <c r="AH63" s="52"/>
      <c r="AI63" s="52"/>
      <c r="AJ63" s="52"/>
      <c r="AK63" s="52"/>
    </row>
    <row r="64" spans="1:37">
      <c r="A64" s="3"/>
      <c r="B64" s="3"/>
      <c r="C64" s="3"/>
      <c r="D64" s="3"/>
      <c r="E64" s="3"/>
      <c r="F64" s="3"/>
      <c r="G64" s="3"/>
      <c r="H64" s="3"/>
      <c r="I64" s="3"/>
      <c r="J64" s="3"/>
      <c r="K64" s="3"/>
      <c r="L64" s="3"/>
      <c r="M64" s="3"/>
      <c r="N64" s="3"/>
      <c r="O64" s="3"/>
      <c r="P64" s="3"/>
      <c r="Q64" s="3"/>
      <c r="R64" s="3"/>
      <c r="S64" s="3"/>
      <c r="T64" s="3"/>
      <c r="U64" s="3"/>
      <c r="V64" s="3"/>
      <c r="W64" s="3"/>
      <c r="X64" s="3"/>
      <c r="Y64" s="3"/>
      <c r="Z64" s="3"/>
      <c r="AA64" s="52"/>
      <c r="AB64" s="52"/>
      <c r="AC64" s="52"/>
      <c r="AD64" s="52"/>
      <c r="AE64" s="52"/>
      <c r="AF64" s="52"/>
      <c r="AG64" s="52"/>
      <c r="AH64" s="52"/>
      <c r="AI64" s="52"/>
      <c r="AJ64" s="52"/>
      <c r="AK64" s="52"/>
    </row>
    <row r="65" spans="1:37">
      <c r="A65" s="3"/>
      <c r="B65" s="3"/>
      <c r="C65" s="3"/>
      <c r="D65" s="3"/>
      <c r="E65" s="3"/>
      <c r="F65" s="3"/>
      <c r="G65" s="3"/>
      <c r="H65" s="3"/>
      <c r="I65" s="3"/>
      <c r="J65" s="3"/>
      <c r="K65" s="3"/>
      <c r="L65" s="3"/>
      <c r="M65" s="3"/>
      <c r="N65" s="3"/>
      <c r="O65" s="3"/>
      <c r="P65" s="3"/>
      <c r="Q65" s="3"/>
      <c r="R65" s="3"/>
      <c r="S65" s="3"/>
      <c r="T65" s="3"/>
      <c r="U65" s="3"/>
      <c r="V65" s="3"/>
      <c r="W65" s="3"/>
      <c r="X65" s="3"/>
      <c r="Y65" s="3"/>
      <c r="Z65" s="3"/>
      <c r="AA65" s="52"/>
      <c r="AB65" s="52"/>
      <c r="AC65" s="52"/>
      <c r="AD65" s="52"/>
      <c r="AE65" s="52"/>
      <c r="AF65" s="52"/>
      <c r="AG65" s="52"/>
      <c r="AH65" s="52"/>
      <c r="AI65" s="52"/>
      <c r="AJ65" s="52"/>
      <c r="AK65" s="52"/>
    </row>
    <row r="66" spans="1:37">
      <c r="A66" s="3"/>
      <c r="B66" s="3"/>
      <c r="C66" s="3"/>
      <c r="D66" s="3"/>
      <c r="E66" s="3"/>
      <c r="F66" s="3"/>
      <c r="G66" s="3"/>
      <c r="H66" s="3"/>
      <c r="I66" s="3"/>
      <c r="J66" s="3"/>
      <c r="K66" s="3"/>
      <c r="L66" s="3"/>
      <c r="M66" s="3"/>
      <c r="N66" s="3"/>
      <c r="O66" s="3"/>
      <c r="P66" s="3"/>
      <c r="Q66" s="3"/>
      <c r="R66" s="3"/>
      <c r="S66" s="3"/>
      <c r="T66" s="3"/>
      <c r="U66" s="3"/>
      <c r="V66" s="3"/>
      <c r="W66" s="3"/>
      <c r="X66" s="3"/>
      <c r="Y66" s="3"/>
      <c r="Z66" s="3"/>
      <c r="AA66" s="52"/>
      <c r="AB66" s="52"/>
      <c r="AC66" s="52"/>
      <c r="AD66" s="52"/>
      <c r="AE66" s="52"/>
      <c r="AF66" s="52"/>
      <c r="AG66" s="52"/>
      <c r="AH66" s="52"/>
      <c r="AI66" s="52"/>
      <c r="AJ66" s="52"/>
      <c r="AK66" s="52"/>
    </row>
    <row r="67" spans="1:37">
      <c r="A67" s="3"/>
      <c r="B67" s="3"/>
      <c r="C67" s="3"/>
      <c r="D67" s="3"/>
      <c r="E67" s="3"/>
      <c r="F67" s="3"/>
      <c r="G67" s="3"/>
      <c r="H67" s="3"/>
      <c r="I67" s="3"/>
      <c r="J67" s="3"/>
      <c r="K67" s="3"/>
      <c r="L67" s="3"/>
      <c r="M67" s="3"/>
      <c r="N67" s="3"/>
      <c r="O67" s="3"/>
      <c r="P67" s="3"/>
      <c r="Q67" s="3"/>
      <c r="R67" s="3"/>
      <c r="S67" s="3"/>
      <c r="T67" s="3"/>
      <c r="U67" s="3"/>
      <c r="V67" s="3"/>
      <c r="W67" s="3"/>
      <c r="X67" s="3"/>
      <c r="Y67" s="3"/>
      <c r="Z67" s="3"/>
      <c r="AA67" s="52"/>
      <c r="AB67" s="52"/>
      <c r="AC67" s="52"/>
      <c r="AD67" s="52"/>
      <c r="AE67" s="52"/>
      <c r="AF67" s="52"/>
      <c r="AG67" s="52"/>
      <c r="AH67" s="52"/>
      <c r="AI67" s="52"/>
      <c r="AJ67" s="52"/>
      <c r="AK67" s="52"/>
    </row>
    <row r="68" spans="1:37">
      <c r="A68" s="3"/>
      <c r="B68" s="3"/>
      <c r="C68" s="3"/>
      <c r="D68" s="3"/>
      <c r="E68" s="3"/>
      <c r="F68" s="3"/>
      <c r="G68" s="3"/>
      <c r="H68" s="3"/>
      <c r="I68" s="3"/>
      <c r="J68" s="3"/>
      <c r="K68" s="3"/>
      <c r="L68" s="3"/>
      <c r="M68" s="3"/>
      <c r="N68" s="3"/>
      <c r="O68" s="3"/>
      <c r="P68" s="3"/>
      <c r="Q68" s="3"/>
      <c r="R68" s="3"/>
      <c r="S68" s="3"/>
      <c r="T68" s="3"/>
      <c r="U68" s="3"/>
      <c r="V68" s="3"/>
      <c r="W68" s="3"/>
      <c r="X68" s="3"/>
      <c r="Y68" s="3"/>
      <c r="Z68" s="3"/>
      <c r="AA68" s="52"/>
      <c r="AB68" s="52"/>
      <c r="AC68" s="52"/>
      <c r="AD68" s="52"/>
      <c r="AE68" s="52"/>
      <c r="AF68" s="52"/>
      <c r="AG68" s="52"/>
      <c r="AH68" s="52"/>
      <c r="AI68" s="52"/>
      <c r="AJ68" s="52"/>
      <c r="AK68" s="52"/>
    </row>
    <row r="69" spans="1:37">
      <c r="A69" s="3"/>
      <c r="B69" s="3"/>
      <c r="C69" s="3"/>
      <c r="D69" s="3"/>
      <c r="E69" s="3"/>
      <c r="F69" s="3"/>
      <c r="G69" s="3"/>
      <c r="H69" s="3"/>
      <c r="I69" s="3"/>
      <c r="J69" s="3"/>
      <c r="K69" s="3"/>
      <c r="L69" s="3"/>
      <c r="M69" s="3"/>
      <c r="N69" s="3"/>
      <c r="O69" s="3"/>
      <c r="P69" s="3"/>
      <c r="Q69" s="3"/>
      <c r="R69" s="3"/>
      <c r="S69" s="3"/>
      <c r="T69" s="3"/>
      <c r="U69" s="3"/>
      <c r="V69" s="3"/>
      <c r="W69" s="3"/>
      <c r="X69" s="3"/>
      <c r="Y69" s="3"/>
      <c r="Z69" s="3"/>
      <c r="AA69" s="52"/>
      <c r="AB69" s="52"/>
      <c r="AC69" s="52"/>
      <c r="AD69" s="52"/>
      <c r="AE69" s="52"/>
      <c r="AF69" s="52"/>
      <c r="AG69" s="52"/>
      <c r="AH69" s="52"/>
      <c r="AI69" s="52"/>
      <c r="AJ69" s="52"/>
      <c r="AK69" s="52"/>
    </row>
    <row r="70" spans="1:37">
      <c r="A70" s="3"/>
      <c r="B70" s="3"/>
      <c r="C70" s="3"/>
      <c r="D70" s="3"/>
      <c r="E70" s="3"/>
      <c r="F70" s="3"/>
      <c r="G70" s="3"/>
      <c r="H70" s="3"/>
      <c r="I70" s="3"/>
      <c r="J70" s="3"/>
      <c r="K70" s="3"/>
      <c r="L70" s="3"/>
      <c r="M70" s="3"/>
      <c r="N70" s="3"/>
      <c r="O70" s="3"/>
      <c r="P70" s="3"/>
      <c r="Q70" s="3"/>
      <c r="R70" s="3"/>
      <c r="S70" s="3"/>
      <c r="T70" s="3"/>
      <c r="U70" s="3"/>
      <c r="V70" s="3"/>
      <c r="W70" s="3"/>
      <c r="X70" s="3"/>
      <c r="Y70" s="3"/>
      <c r="Z70" s="3"/>
      <c r="AA70" s="52"/>
      <c r="AB70" s="52"/>
      <c r="AC70" s="52"/>
      <c r="AD70" s="52"/>
      <c r="AE70" s="52"/>
      <c r="AF70" s="52"/>
      <c r="AG70" s="52"/>
      <c r="AH70" s="52"/>
      <c r="AI70" s="52"/>
      <c r="AJ70" s="52"/>
      <c r="AK70" s="52"/>
    </row>
    <row r="71" spans="1:37">
      <c r="A71" s="3"/>
      <c r="B71" s="3"/>
      <c r="C71" s="3"/>
      <c r="D71" s="3"/>
      <c r="E71" s="3"/>
      <c r="F71" s="3"/>
      <c r="G71" s="3"/>
      <c r="H71" s="3"/>
      <c r="I71" s="3"/>
      <c r="J71" s="3"/>
      <c r="K71" s="3"/>
      <c r="L71" s="3"/>
      <c r="M71" s="3"/>
      <c r="N71" s="3"/>
      <c r="O71" s="3"/>
      <c r="P71" s="3"/>
      <c r="Q71" s="3"/>
      <c r="R71" s="3"/>
      <c r="S71" s="3"/>
      <c r="T71" s="3"/>
      <c r="U71" s="3"/>
      <c r="V71" s="3"/>
      <c r="W71" s="3"/>
      <c r="X71" s="3"/>
      <c r="Y71" s="3"/>
      <c r="Z71" s="3"/>
      <c r="AA71" s="52"/>
      <c r="AB71" s="52"/>
      <c r="AC71" s="52"/>
      <c r="AD71" s="52"/>
      <c r="AE71" s="52"/>
      <c r="AF71" s="52"/>
      <c r="AG71" s="52"/>
      <c r="AH71" s="52"/>
      <c r="AI71" s="52"/>
      <c r="AJ71" s="52"/>
      <c r="AK71" s="52"/>
    </row>
    <row r="72" spans="1:37">
      <c r="A72" s="3"/>
      <c r="B72" s="3"/>
      <c r="C72" s="3"/>
      <c r="D72" s="3"/>
      <c r="E72" s="3"/>
      <c r="F72" s="3"/>
      <c r="G72" s="3"/>
      <c r="H72" s="3"/>
      <c r="I72" s="3"/>
      <c r="J72" s="3"/>
      <c r="K72" s="3"/>
      <c r="L72" s="3"/>
      <c r="M72" s="3"/>
      <c r="N72" s="3"/>
      <c r="O72" s="3"/>
      <c r="P72" s="3"/>
      <c r="Q72" s="3"/>
      <c r="R72" s="3"/>
      <c r="S72" s="3"/>
      <c r="T72" s="3"/>
      <c r="U72" s="3"/>
      <c r="V72" s="3"/>
      <c r="W72" s="3"/>
      <c r="X72" s="3"/>
      <c r="Y72" s="3"/>
      <c r="Z72" s="3"/>
      <c r="AA72" s="52"/>
      <c r="AB72" s="52"/>
      <c r="AC72" s="52"/>
      <c r="AD72" s="52"/>
      <c r="AE72" s="52"/>
      <c r="AF72" s="52"/>
      <c r="AG72" s="52"/>
      <c r="AH72" s="52"/>
      <c r="AI72" s="52"/>
      <c r="AJ72" s="52"/>
      <c r="AK72" s="52"/>
    </row>
    <row r="73" spans="1:37">
      <c r="A73" s="3"/>
      <c r="B73" s="3"/>
      <c r="C73" s="3"/>
      <c r="D73" s="3"/>
      <c r="E73" s="3"/>
      <c r="F73" s="3"/>
      <c r="G73" s="3"/>
      <c r="H73" s="3"/>
      <c r="I73" s="3"/>
      <c r="J73" s="3"/>
      <c r="K73" s="3"/>
      <c r="L73" s="3"/>
      <c r="M73" s="3"/>
      <c r="N73" s="3"/>
      <c r="O73" s="3"/>
      <c r="P73" s="3"/>
      <c r="Q73" s="3"/>
      <c r="R73" s="3"/>
      <c r="S73" s="3"/>
      <c r="T73" s="3"/>
      <c r="U73" s="3"/>
      <c r="V73" s="3"/>
      <c r="W73" s="3"/>
      <c r="X73" s="3"/>
      <c r="Y73" s="3"/>
      <c r="Z73" s="3"/>
      <c r="AA73" s="52"/>
      <c r="AB73" s="52"/>
      <c r="AC73" s="52"/>
      <c r="AD73" s="52"/>
      <c r="AE73" s="52"/>
      <c r="AF73" s="52"/>
      <c r="AG73" s="52"/>
      <c r="AH73" s="52"/>
      <c r="AI73" s="52"/>
      <c r="AJ73" s="52"/>
      <c r="AK73" s="52"/>
    </row>
    <row r="74" spans="1:37">
      <c r="A74" s="3"/>
      <c r="B74" s="3"/>
      <c r="C74" s="3"/>
      <c r="D74" s="3"/>
      <c r="E74" s="3"/>
      <c r="F74" s="3"/>
      <c r="G74" s="3"/>
      <c r="H74" s="3"/>
      <c r="I74" s="3"/>
      <c r="J74" s="3"/>
      <c r="K74" s="3"/>
      <c r="L74" s="3"/>
      <c r="M74" s="3"/>
      <c r="N74" s="3"/>
      <c r="O74" s="3"/>
      <c r="P74" s="3"/>
      <c r="Q74" s="3"/>
      <c r="R74" s="3"/>
      <c r="S74" s="3"/>
      <c r="T74" s="3"/>
      <c r="U74" s="3"/>
      <c r="V74" s="3"/>
      <c r="W74" s="3"/>
      <c r="X74" s="3"/>
      <c r="Y74" s="3"/>
      <c r="Z74" s="3"/>
      <c r="AA74" s="52"/>
      <c r="AB74" s="52"/>
      <c r="AC74" s="52"/>
      <c r="AD74" s="52"/>
      <c r="AE74" s="52"/>
      <c r="AF74" s="52"/>
      <c r="AG74" s="52"/>
      <c r="AH74" s="52"/>
      <c r="AI74" s="52"/>
      <c r="AJ74" s="52"/>
      <c r="AK74" s="52"/>
    </row>
    <row r="75" spans="1:37">
      <c r="A75" s="3"/>
      <c r="B75" s="3"/>
      <c r="C75" s="3"/>
      <c r="D75" s="3"/>
      <c r="E75" s="3"/>
      <c r="F75" s="3"/>
      <c r="G75" s="3"/>
      <c r="H75" s="3"/>
      <c r="I75" s="3"/>
      <c r="J75" s="3"/>
      <c r="K75" s="3"/>
      <c r="L75" s="3"/>
      <c r="M75" s="3"/>
      <c r="N75" s="3"/>
      <c r="O75" s="3"/>
      <c r="P75" s="3"/>
      <c r="Q75" s="3"/>
      <c r="R75" s="3"/>
      <c r="S75" s="3"/>
      <c r="T75" s="3"/>
      <c r="U75" s="3"/>
      <c r="V75" s="3"/>
      <c r="W75" s="3"/>
      <c r="X75" s="3"/>
      <c r="Y75" s="3"/>
      <c r="Z75" s="3"/>
      <c r="AA75" s="52"/>
      <c r="AB75" s="52"/>
      <c r="AC75" s="52"/>
      <c r="AD75" s="52"/>
      <c r="AE75" s="52"/>
      <c r="AF75" s="52"/>
      <c r="AG75" s="52"/>
      <c r="AH75" s="52"/>
      <c r="AI75" s="52"/>
      <c r="AJ75" s="52"/>
      <c r="AK75" s="52"/>
    </row>
    <row r="76" spans="1:37">
      <c r="A76" s="3"/>
      <c r="B76" s="3"/>
      <c r="C76" s="3"/>
      <c r="D76" s="3"/>
      <c r="E76" s="3"/>
      <c r="F76" s="3"/>
      <c r="G76" s="3"/>
      <c r="H76" s="3"/>
      <c r="I76" s="3"/>
      <c r="J76" s="3"/>
      <c r="K76" s="3"/>
      <c r="L76" s="3"/>
      <c r="M76" s="3"/>
      <c r="N76" s="3"/>
      <c r="O76" s="3"/>
      <c r="P76" s="3"/>
      <c r="Q76" s="3"/>
      <c r="R76" s="3"/>
      <c r="S76" s="3"/>
      <c r="T76" s="3"/>
      <c r="U76" s="3"/>
      <c r="V76" s="3"/>
      <c r="W76" s="3"/>
      <c r="X76" s="3"/>
      <c r="Y76" s="3"/>
      <c r="Z76" s="3"/>
      <c r="AA76" s="52"/>
      <c r="AB76" s="52"/>
      <c r="AC76" s="52"/>
      <c r="AD76" s="52"/>
      <c r="AE76" s="52"/>
      <c r="AF76" s="52"/>
      <c r="AG76" s="52"/>
      <c r="AH76" s="52"/>
      <c r="AI76" s="52"/>
      <c r="AJ76" s="52"/>
      <c r="AK76" s="52"/>
    </row>
    <row r="77" spans="1:37">
      <c r="A77" s="3"/>
      <c r="B77" s="3"/>
      <c r="C77" s="3"/>
      <c r="D77" s="3"/>
      <c r="E77" s="3"/>
      <c r="F77" s="3"/>
      <c r="G77" s="3"/>
      <c r="H77" s="3"/>
      <c r="I77" s="3"/>
      <c r="J77" s="3"/>
      <c r="K77" s="3"/>
      <c r="L77" s="3"/>
      <c r="M77" s="3"/>
      <c r="N77" s="3"/>
      <c r="O77" s="3"/>
      <c r="P77" s="3"/>
      <c r="Q77" s="3"/>
      <c r="R77" s="3"/>
      <c r="S77" s="3"/>
      <c r="T77" s="3"/>
      <c r="U77" s="3"/>
      <c r="V77" s="3"/>
      <c r="W77" s="3"/>
      <c r="X77" s="3"/>
      <c r="Y77" s="3"/>
      <c r="Z77" s="3"/>
      <c r="AA77" s="52"/>
      <c r="AB77" s="52"/>
      <c r="AC77" s="52"/>
      <c r="AD77" s="52"/>
      <c r="AE77" s="52"/>
      <c r="AF77" s="52"/>
      <c r="AG77" s="52"/>
      <c r="AH77" s="52"/>
      <c r="AI77" s="52"/>
      <c r="AJ77" s="52"/>
      <c r="AK77" s="52"/>
    </row>
    <row r="78" spans="1:37">
      <c r="A78" s="3"/>
      <c r="B78" s="3"/>
      <c r="C78" s="3"/>
      <c r="D78" s="3"/>
      <c r="E78" s="3"/>
      <c r="F78" s="3"/>
      <c r="G78" s="3"/>
      <c r="H78" s="3"/>
      <c r="I78" s="3"/>
      <c r="J78" s="3"/>
      <c r="K78" s="3"/>
      <c r="L78" s="3"/>
      <c r="M78" s="3"/>
      <c r="N78" s="3"/>
      <c r="O78" s="3"/>
      <c r="P78" s="3"/>
      <c r="Q78" s="3"/>
      <c r="R78" s="3"/>
      <c r="S78" s="3"/>
      <c r="T78" s="3"/>
      <c r="U78" s="3"/>
      <c r="V78" s="3"/>
      <c r="W78" s="3"/>
      <c r="X78" s="3"/>
      <c r="Y78" s="3"/>
      <c r="Z78" s="3"/>
      <c r="AA78" s="52"/>
      <c r="AB78" s="52"/>
      <c r="AC78" s="52"/>
      <c r="AD78" s="52"/>
      <c r="AE78" s="52"/>
      <c r="AF78" s="52"/>
      <c r="AG78" s="52"/>
      <c r="AH78" s="52"/>
      <c r="AI78" s="52"/>
      <c r="AJ78" s="52"/>
      <c r="AK78" s="52"/>
    </row>
    <row r="79" spans="1:37">
      <c r="A79" s="3"/>
      <c r="B79" s="3"/>
      <c r="C79" s="3"/>
      <c r="D79" s="3"/>
      <c r="E79" s="3"/>
      <c r="F79" s="3"/>
      <c r="G79" s="3"/>
      <c r="H79" s="3"/>
      <c r="I79" s="3"/>
      <c r="J79" s="3"/>
      <c r="K79" s="3"/>
      <c r="L79" s="3"/>
      <c r="M79" s="3"/>
      <c r="N79" s="3"/>
      <c r="O79" s="3"/>
      <c r="P79" s="3"/>
      <c r="Q79" s="3"/>
      <c r="R79" s="3"/>
      <c r="S79" s="3"/>
      <c r="T79" s="3"/>
      <c r="U79" s="3"/>
      <c r="V79" s="3"/>
      <c r="W79" s="3"/>
      <c r="X79" s="3"/>
      <c r="Y79" s="3"/>
      <c r="Z79" s="3"/>
      <c r="AA79" s="52"/>
      <c r="AB79" s="52"/>
      <c r="AC79" s="52"/>
      <c r="AD79" s="52"/>
      <c r="AE79" s="52"/>
      <c r="AF79" s="52"/>
      <c r="AG79" s="52"/>
      <c r="AH79" s="52"/>
      <c r="AI79" s="52"/>
      <c r="AJ79" s="52"/>
      <c r="AK79" s="52"/>
    </row>
    <row r="80" spans="1:37">
      <c r="A80" s="3"/>
      <c r="B80" s="3"/>
      <c r="C80" s="3"/>
      <c r="D80" s="3"/>
      <c r="E80" s="3"/>
      <c r="F80" s="3"/>
      <c r="G80" s="3"/>
      <c r="H80" s="3"/>
      <c r="I80" s="3"/>
      <c r="J80" s="3"/>
      <c r="K80" s="3"/>
      <c r="L80" s="3"/>
      <c r="M80" s="3"/>
      <c r="N80" s="3"/>
      <c r="O80" s="3"/>
      <c r="P80" s="3"/>
      <c r="Q80" s="3"/>
      <c r="R80" s="3"/>
      <c r="S80" s="3"/>
      <c r="T80" s="3"/>
      <c r="U80" s="3"/>
      <c r="V80" s="3"/>
      <c r="W80" s="3"/>
      <c r="X80" s="3"/>
      <c r="Y80" s="3"/>
      <c r="Z80" s="3"/>
      <c r="AA80" s="52"/>
      <c r="AB80" s="52"/>
      <c r="AC80" s="52"/>
      <c r="AD80" s="52"/>
      <c r="AE80" s="52"/>
      <c r="AF80" s="52"/>
      <c r="AG80" s="52"/>
      <c r="AH80" s="52"/>
      <c r="AI80" s="52"/>
      <c r="AJ80" s="52"/>
      <c r="AK80" s="52"/>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7D59"/>
  </sheetPr>
  <dimension ref="A1:AM80"/>
  <sheetViews>
    <sheetView showGridLines="0" workbookViewId="0">
      <pane ySplit="3" topLeftCell="A4" activePane="bottomLeft" state="frozen"/>
      <selection pane="bottomLeft" activeCell="G6" sqref="G6"/>
    </sheetView>
  </sheetViews>
  <sheetFormatPr baseColWidth="10" defaultColWidth="16.33203125" defaultRowHeight="20" customHeight="1"/>
  <cols>
    <col min="1" max="1" width="15.83203125" customWidth="1"/>
    <col min="2" max="36" width="9.33203125" customWidth="1"/>
    <col min="37" max="37" width="2.33203125" customWidth="1"/>
    <col min="38" max="39" width="10" customWidth="1"/>
  </cols>
  <sheetData>
    <row r="1" spans="1:39" s="117" customFormat="1" ht="67" customHeight="1">
      <c r="A1" s="132"/>
      <c r="B1" s="132"/>
      <c r="C1" s="132"/>
      <c r="D1" s="132"/>
      <c r="E1" s="135" t="s">
        <v>97</v>
      </c>
      <c r="F1" s="134"/>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19"/>
      <c r="AH1" s="119"/>
      <c r="AI1" s="119"/>
      <c r="AJ1" s="119"/>
      <c r="AK1" s="119"/>
      <c r="AL1" s="133"/>
      <c r="AM1" s="133"/>
    </row>
    <row r="2" spans="1:39" ht="22" customHeight="1">
      <c r="A2" s="14" t="s">
        <v>0</v>
      </c>
      <c r="B2" s="14">
        <f>IF(1&lt;=$AL$6,1,"")</f>
        <v>1</v>
      </c>
      <c r="C2" s="14">
        <f>IF(2&lt;=$AL$6,2,"")</f>
        <v>2</v>
      </c>
      <c r="D2" s="14">
        <f>IF(3&lt;=$AL$6,3,"")</f>
        <v>3</v>
      </c>
      <c r="E2" s="14">
        <f>IF(4&lt;=$AL$6,4,"")</f>
        <v>4</v>
      </c>
      <c r="F2" s="14">
        <f>IF(5&lt;=$AL$6,5,"")</f>
        <v>5</v>
      </c>
      <c r="G2" s="14">
        <f>IF(6&lt;=$AL$6,6,"")</f>
        <v>6</v>
      </c>
      <c r="H2" s="14">
        <f>IF(7&lt;=$AL$6,7,"")</f>
        <v>7</v>
      </c>
      <c r="I2" s="14">
        <f>IF(8&lt;=$AL$6,8,"")</f>
        <v>8</v>
      </c>
      <c r="J2" s="14">
        <f>IF(9&lt;=$AL$6,9,"")</f>
        <v>9</v>
      </c>
      <c r="K2" s="14">
        <f>IF(10&lt;=$AL$6,10,"")</f>
        <v>10</v>
      </c>
      <c r="L2" s="14">
        <f>IF(11&lt;=$AL$6,11,"")</f>
        <v>11</v>
      </c>
      <c r="M2" s="14">
        <f>IF(12&lt;=$AL$6,12,"")</f>
        <v>12</v>
      </c>
      <c r="N2" s="14">
        <f>IF(13&lt;=$AL$6,13,"")</f>
        <v>13</v>
      </c>
      <c r="O2" s="14">
        <f>IF(14&lt;=$AL$6,14,"")</f>
        <v>14</v>
      </c>
      <c r="P2" s="14">
        <f>IF(15&lt;=$AL$6,15,"")</f>
        <v>15</v>
      </c>
      <c r="Q2" s="14">
        <f>IF(16&lt;=$AL$6,16,"")</f>
        <v>16</v>
      </c>
      <c r="R2" s="14">
        <f>IF(17&lt;=$AL$6,17,"")</f>
        <v>17</v>
      </c>
      <c r="S2" s="14">
        <f>IF(18&lt;=$AL$6,18,"")</f>
        <v>18</v>
      </c>
      <c r="T2" s="14">
        <f>IF(19&lt;=$AL$6,19,"")</f>
        <v>19</v>
      </c>
      <c r="U2" s="14">
        <f>IF(20&lt;=$AL$6,20,"")</f>
        <v>20</v>
      </c>
      <c r="V2" s="14">
        <f>IF(21&lt;=$AL$6,21,"")</f>
        <v>21</v>
      </c>
      <c r="W2" s="14">
        <f>IF(22&lt;=$AL$6,22,"")</f>
        <v>22</v>
      </c>
      <c r="X2" s="14">
        <f>IF(23&lt;=$AL$6,23,"")</f>
        <v>23</v>
      </c>
      <c r="Y2" s="14">
        <f>IF(24&lt;=$AL$6,24,"")</f>
        <v>24</v>
      </c>
      <c r="Z2" s="14">
        <f>IF(25&lt;=$AL$6,25,"")</f>
        <v>25</v>
      </c>
      <c r="AA2" s="14">
        <f>IF(26&lt;=$AL$6,26,"")</f>
        <v>26</v>
      </c>
      <c r="AB2" s="14">
        <f>IF(27&lt;=$AL$6,27,"")</f>
        <v>27</v>
      </c>
      <c r="AC2" s="14">
        <f>IF(28&lt;=$AL$6,28,"")</f>
        <v>28</v>
      </c>
      <c r="AD2" s="14" t="str">
        <f>IF(29&lt;=$AL$6,29,"")</f>
        <v/>
      </c>
      <c r="AE2" s="14" t="str">
        <f>IF(30&lt;=$AL$6,30,"")</f>
        <v/>
      </c>
      <c r="AF2" s="14" t="str">
        <f>IF(31&lt;=$AL$6,31,"")</f>
        <v/>
      </c>
      <c r="AG2" s="14" t="str">
        <f>IF(32&lt;=$AL$6,32,"")</f>
        <v/>
      </c>
      <c r="AH2" s="14" t="str">
        <f>IF(33&lt;=$AL$6,33,"")</f>
        <v/>
      </c>
      <c r="AI2" s="14" t="str">
        <f>IF(34&lt;=$AL$6,34,"")</f>
        <v/>
      </c>
      <c r="AJ2" s="14" t="str">
        <f>IF(35&lt;=$AL$6,35,"")</f>
        <v/>
      </c>
      <c r="AK2" s="14"/>
      <c r="AL2" s="3"/>
      <c r="AM2" s="2"/>
    </row>
    <row r="3" spans="1:39" ht="20" customHeight="1">
      <c r="A3" s="15" t="s">
        <v>14</v>
      </c>
      <c r="B3" s="16" t="str">
        <f>IF(1&gt;$AL$6,"",IF(1&lt;=$AM$6,"Period",IF(1&lt;ROUND($AL$6/2,0)-1,"Follicular",IF(1&lt;=ROUND($AL$6/2,0)+1,"Ovulation",IF(1&lt;=$AL$6-5,"Mid Luteal","Late Luteal")))))</f>
        <v>Period</v>
      </c>
      <c r="C3" s="16" t="str">
        <f>IF(2&gt;$AL$6,"",IF(2&lt;=$AM$6,"Period",IF(2&lt;ROUND($AL$6/2,0)-1,"Follicular",IF(2&lt;=ROUND($AL$6/2,0)+1,"Ovulation",IF(2&lt;=$AL$6-5,"Mid Luteal","Late Luteal")))))</f>
        <v>Period</v>
      </c>
      <c r="D3" s="16" t="str">
        <f>IF(3&gt;$AL$6,"",IF(3&lt;=$AM$6,"Period",IF(3&lt;ROUND($AL$6/2,0)-1,"Follicular",IF(3&lt;=ROUND($AL$6/2,0)+1,"Ovulation",IF(3&lt;=$AL$6-5,"Mid Luteal","Late Luteal")))))</f>
        <v>Period</v>
      </c>
      <c r="E3" s="16" t="str">
        <f>IF(4&gt;$AL$6,"",IF(4&lt;=$AM$6,"Period",IF(4&lt;ROUND($AL$6/2,0)-1,"Follicular",IF(4&lt;=ROUND($AL$6/2,0)+1,"Ovulation",IF(4&lt;=$AL$6-5,"Mid Luteal","Late Luteal")))))</f>
        <v>Period</v>
      </c>
      <c r="F3" s="16" t="str">
        <f>IF(5&gt;$AL$6,"",IF(5&lt;=$AM$6,"Period",IF(5&lt;ROUND($AL$6/2,0)-1,"Follicular",IF(5&lt;=ROUND($AL$6/2,0)+1,"Ovulation",IF(5&lt;=$AL$6-5,"Mid Luteal","Late Luteal")))))</f>
        <v>Period</v>
      </c>
      <c r="G3" s="16" t="str">
        <f>IF(6&gt;$AL$6,"",IF(6&lt;=$AM$6,"Period",IF(6&lt;ROUND($AL$6/2,0)-1,"Follicular",IF(6&lt;=ROUND($AL$6/2,0)+1,"Ovulation",IF(6&lt;=$AL$6-5,"Mid Luteal","Late Luteal")))))</f>
        <v>Follicular</v>
      </c>
      <c r="H3" s="16" t="str">
        <f>IF(7&gt;$AL$6,"",IF(7&lt;=$AM$6,"Period",IF(7&lt;ROUND($AL$6/2,0)-1,"Follicular",IF(7&lt;=ROUND($AL$6/2,0)+1,"Ovulation",IF(7&lt;=$AL$6-5,"Mid Luteal","Late Luteal")))))</f>
        <v>Follicular</v>
      </c>
      <c r="I3" s="16" t="str">
        <f>IF(8&gt;$AL$6,"",IF(8&lt;=$AM$6,"Period",IF(8&lt;ROUND($AL$6/2,0)-1,"Follicular",IF(8&lt;=ROUND($AL$6/2,0)+1,"Ovulation",IF(8&lt;=$AL$6-5,"Mid Luteal","Late Luteal")))))</f>
        <v>Follicular</v>
      </c>
      <c r="J3" s="16" t="str">
        <f>IF(9&gt;$AL$6,"",IF(9&lt;=$AM$6,"Period",IF(9&lt;ROUND($AL$6/2,0)-1,"Follicular",IF(9&lt;=ROUND($AL$6/2,0)+1,"Ovulation",IF(9&lt;=$AL$6-5,"Mid Luteal","Late Luteal")))))</f>
        <v>Follicular</v>
      </c>
      <c r="K3" s="16" t="str">
        <f>IF(10&gt;$AL$6,"",IF(10&lt;=$AM$6,"Period",IF(10&lt;ROUND($AL$6/2,0)-1,"Follicular",IF(10&lt;=ROUND($AL$6/2,0)+1,"Ovulation",IF(10&lt;=$AL$6-5,"Mid Luteal","Late Luteal")))))</f>
        <v>Follicular</v>
      </c>
      <c r="L3" s="16" t="str">
        <f>IF(11&gt;$AL$6,"",IF(11&lt;=$AM$6,"Period",IF(11&lt;ROUND($AL$6/2,0)-1,"Follicular",IF(11&lt;=ROUND($AL$6/2,0)+1,"Ovulation",IF(11&lt;=$AL$6-5,"Mid Luteal","Late Luteal")))))</f>
        <v>Follicular</v>
      </c>
      <c r="M3" s="16" t="str">
        <f>IF(12&gt;$AL$6,"",IF(12&lt;=$AM$6,"Period",IF(12&lt;ROUND($AL$6/2,0)-1,"Follicular",IF(12&lt;=ROUND($AL$6/2,0)+1,"Ovulation",IF(12&lt;=$AL$6-5,"Mid Luteal","Late Luteal")))))</f>
        <v>Follicular</v>
      </c>
      <c r="N3" s="16" t="str">
        <f>IF(13&gt;$AL$6,"",IF(13&lt;=$AM$6,"Period",IF(13&lt;ROUND($AL$6/2,0)-1,"Follicular",IF(13&lt;=ROUND($AL$6/2,0)+1,"Ovulation",IF(13&lt;=$AL$6-5,"Mid Luteal","Late Luteal")))))</f>
        <v>Ovulation</v>
      </c>
      <c r="O3" s="16" t="str">
        <f>IF(14&gt;$AL$6,"",IF(14&lt;=$AM$6,"Period",IF(14&lt;ROUND($AL$6/2,0)-1,"Follicular",IF(14&lt;=ROUND($AL$6/2,0)+1,"Ovulation",IF(14&lt;=$AL$6-5,"Mid Luteal","Late Luteal")))))</f>
        <v>Ovulation</v>
      </c>
      <c r="P3" s="16" t="str">
        <f>IF(15&gt;$AL$6,"",IF(15&lt;=$AM$6,"Period",IF(15&lt;ROUND($AL$6/2,0)-1,"Follicular",IF(15&lt;=ROUND($AL$6/2,0)+1,"Ovulation",IF(15&lt;=$AL$6-5,"Mid Luteal","Late Luteal")))))</f>
        <v>Ovulation</v>
      </c>
      <c r="Q3" s="16" t="str">
        <f>IF(16&gt;$AL$6,"",IF(16&lt;=$AM$6,"Period",IF(16&lt;ROUND($AL$6/2,0)-1,"Follicular",IF(16&lt;=ROUND($AL$6/2,0)+1,"Ovulation",IF(16&lt;=$AL$6-5,"Mid Luteal","Late Luteal")))))</f>
        <v>Mid Luteal</v>
      </c>
      <c r="R3" s="16" t="str">
        <f>IF(17&gt;$AL$6,"",IF(17&lt;=$AM$6,"Period",IF(17&lt;ROUND($AL$6/2,0)-1,"Follicular",IF(17&lt;=ROUND($AL$6/2,0)+1,"Ovulation",IF(17&lt;=$AL$6-5,"Mid Luteal","Late Luteal")))))</f>
        <v>Mid Luteal</v>
      </c>
      <c r="S3" s="16" t="str">
        <f>IF(18&gt;$AL$6,"",IF(18&lt;=$AM$6,"Period",IF(18&lt;ROUND($AL$6/2,0)-1,"Follicular",IF(18&lt;=ROUND($AL$6/2,0)+1,"Ovulation",IF(18&lt;=$AL$6-5,"Mid Luteal","Late Luteal")))))</f>
        <v>Mid Luteal</v>
      </c>
      <c r="T3" s="16" t="str">
        <f>IF(19&gt;$AL$6,"",IF(19&lt;=$AM$6,"Period",IF(19&lt;ROUND($AL$6/2,0)-1,"Follicular",IF(19&lt;=ROUND($AL$6/2,0)+1,"Ovulation",IF(19&lt;=$AL$6-5,"Mid Luteal","Late Luteal")))))</f>
        <v>Mid Luteal</v>
      </c>
      <c r="U3" s="16" t="str">
        <f>IF(20&gt;$AL$6,"",IF(20&lt;=$AM$6,"Period",IF(20&lt;ROUND($AL$6/2,0)-1,"Follicular",IF(20&lt;=ROUND($AL$6/2,0)+1,"Ovulation",IF(20&lt;=$AL$6-5,"Mid Luteal","Late Luteal")))))</f>
        <v>Mid Luteal</v>
      </c>
      <c r="V3" s="16" t="str">
        <f>IF(21&gt;$AL$6,"",IF(21&lt;=$AM$6,"Period",IF(21&lt;ROUND($AL$6/2,0)-1,"Follicular",IF(21&lt;=ROUND($AL$6/2,0)+1,"Ovulation",IF(21&lt;=$AL$6-5,"Mid Luteal","Late Luteal")))))</f>
        <v>Mid Luteal</v>
      </c>
      <c r="W3" s="16" t="str">
        <f>IF(22&gt;$AL$6,"",IF(22&lt;=$AM$6,"Period",IF(22&lt;ROUND($AL$6/2,0)-1,"Follicular",IF(22&lt;=ROUND($AL$6/2,0)+1,"Ovulation",IF(22&lt;=$AL$6-5,"Mid Luteal","Late Luteal")))))</f>
        <v>Mid Luteal</v>
      </c>
      <c r="X3" s="16" t="str">
        <f>IF(23&gt;$AL$6,"",IF(23&lt;=$AM$6,"Period",IF(23&lt;ROUND($AL$6/2,0)-1,"Follicular",IF(23&lt;=ROUND($AL$6/2,0)+1,"Ovulation",IF(23&lt;=$AL$6-5,"Mid Luteal","Late Luteal")))))</f>
        <v>Mid Luteal</v>
      </c>
      <c r="Y3" s="16" t="str">
        <f>IF(24&gt;$AL$6,"",IF(24&lt;=$AM$6,"Period",IF(24&lt;ROUND($AL$6/2,0)-1,"Follicular",IF(24&lt;=ROUND($AL$6/2,0)+1,"Ovulation",IF(24&lt;=$AL$6-5,"Mid Luteal","Late Luteal")))))</f>
        <v>Late Luteal</v>
      </c>
      <c r="Z3" s="16" t="str">
        <f>IF(25&gt;$AL$6,"",IF(25&lt;=$AM$6,"Period",IF(25&lt;ROUND($AL$6/2,0)-1,"Follicular",IF(25&lt;=ROUND($AL$6/2,0)+1,"Ovulation",IF(25&lt;=$AL$6-5,"Mid Luteal","Late Luteal")))))</f>
        <v>Late Luteal</v>
      </c>
      <c r="AA3" s="16" t="str">
        <f>IF(26&gt;$AL$6,"",IF(26&lt;=$AM$6,"Period",IF(26&lt;ROUND($AL$6/2,0)-1,"Follicular",IF(26&lt;=ROUND($AL$6/2,0)+1,"Ovulation",IF(26&lt;=$AL$6-5,"Mid Luteal","Late Luteal")))))</f>
        <v>Late Luteal</v>
      </c>
      <c r="AB3" s="16" t="str">
        <f>IF(27&gt;$AL$6,"",IF(27&lt;=$AM$6,"Period",IF(27&lt;ROUND($AL$6/2,0)-1,"Follicular",IF(27&lt;=ROUND($AL$6/2,0)+1,"Ovulation",IF(27&lt;=$AL$6-5,"Mid Luteal","Late Luteal")))))</f>
        <v>Late Luteal</v>
      </c>
      <c r="AC3" s="16" t="str">
        <f>IF(28&gt;$AL$6,"",IF(28&lt;=$AM$6,"Period",IF(28&lt;ROUND($AL$6/2,0)-1,"Follicular",IF(28&lt;=ROUND($AL$6/2,0)+1,"Ovulation",IF(28&lt;=$AL$6-5,"Mid Luteal","Late Luteal")))))</f>
        <v>Late Luteal</v>
      </c>
      <c r="AD3" s="16" t="str">
        <f>IF(29&gt;$AL$6,"",IF(29&lt;=$AM$6,"Period",IF(29&lt;ROUND($AL$6/2,0)-1,"Follicular",IF(29&lt;=ROUND($AL$6/2,0)+1,"Ovulation",IF(29&lt;=$AL$6-5,"Mid Luteal","Late Luteal")))))</f>
        <v/>
      </c>
      <c r="AE3" s="16" t="str">
        <f>IF(30&gt;$AL$6,"",IF(30&lt;=$AM$6,"Period",IF(30&lt;ROUND($AL$6/2,0)-1,"Follicular",IF(30&lt;=ROUND($AL$6/2,0)+1,"Ovulation",IF(30&lt;=$AL$6-5,"Mid Luteal","Late Luteal")))))</f>
        <v/>
      </c>
      <c r="AF3" s="16" t="str">
        <f>IF(31&gt;$AL$6,"",IF(31&lt;=$AM$6,"Period",IF(31&lt;ROUND($AL$6/2,0)-1,"Follicular",IF(31&lt;=ROUND($AL$6/2,0)+1,"Ovulation",IF(31&lt;=$AL$6-5,"Mid Luteal","Late Luteal")))))</f>
        <v/>
      </c>
      <c r="AG3" s="16" t="str">
        <f>IF(32&gt;$AL$6,"",IF(32&lt;=$AM$6,"Period",IF(32&lt;ROUND($AL$6/2,0)-1,"Follicular",IF(32&lt;=ROUND($AL$6/2,0)+1,"Ovulation",IF(32&lt;=$AL$6-5,"Mid Luteal","Late Luteal")))))</f>
        <v/>
      </c>
      <c r="AH3" s="115" t="str">
        <f>IF(33&gt;$AL$6,"",IF(33&lt;=$AM$6,"Period",IF(33&lt;ROUND($AL$6/2,0)-1,"Follicular",IF(33&lt;=ROUND($AL$6/2,0)+1,"Ovulation",IF(33&lt;=$AL$6-5,"Mid Luteal","Late Luteal")))))</f>
        <v/>
      </c>
      <c r="AI3" s="115" t="str">
        <f>IF(34&gt;$AL$6,"",IF(34&lt;=$AM$6,"Period",IF(34&lt;ROUND($AL$6/2,0)-1,"Follicular",IF(34&lt;=ROUND($AL$6/2,0)+1,"Ovulation",IF(34&lt;=$AL$6-5,"Mid Luteal","Late Luteal")))))</f>
        <v/>
      </c>
      <c r="AJ3" s="115" t="str">
        <f>IF(35&gt;$AL$6,"",IF(35&lt;=$AM$6,"Period",IF(35&lt;ROUND($AL$6/2,0)-1,"Follicular",IF(35&lt;=ROUND($AL$6/2,0)+1,"Ovulation",IF(35&lt;=$AL$6-5,"Mid Luteal","Late Luteal")))))</f>
        <v/>
      </c>
      <c r="AK3" s="15"/>
      <c r="AL3" s="3"/>
      <c r="AM3" s="2"/>
    </row>
    <row r="4" spans="1:39" ht="6" customHeight="1">
      <c r="A4" s="17"/>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3"/>
      <c r="AH4" s="3"/>
      <c r="AI4" s="3"/>
      <c r="AJ4" s="3"/>
      <c r="AK4" s="51"/>
      <c r="AL4" s="3"/>
      <c r="AM4" s="2"/>
    </row>
    <row r="5" spans="1:39" ht="24" customHeight="1">
      <c r="A5" s="19" t="s">
        <v>15</v>
      </c>
      <c r="B5" s="23" t="s">
        <v>11</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113" t="s">
        <v>92</v>
      </c>
      <c r="AM5" s="112" t="s">
        <v>75</v>
      </c>
    </row>
    <row r="6" spans="1:39" ht="20" customHeight="1">
      <c r="A6" s="70" t="s">
        <v>60</v>
      </c>
      <c r="B6" s="92">
        <f>Setup!$C$4</f>
        <v>45858</v>
      </c>
      <c r="C6" s="20">
        <f>IF(2&lt;=$AL$6,B6+1,"")</f>
        <v>45859</v>
      </c>
      <c r="D6" s="20">
        <f>IF(3&lt;=$AL$6,C6+1,"")</f>
        <v>45860</v>
      </c>
      <c r="E6" s="20">
        <f>IF(4&lt;=$AL$6,D6+1,"")</f>
        <v>45861</v>
      </c>
      <c r="F6" s="20">
        <f>IF(5&lt;=$AL$6,E6+1,"")</f>
        <v>45862</v>
      </c>
      <c r="G6" s="20">
        <f>IF(6&lt;=$AL$6,F6+1,"")</f>
        <v>45863</v>
      </c>
      <c r="H6" s="20">
        <f>IF(7&lt;=$AL$6,G6+1,"")</f>
        <v>45864</v>
      </c>
      <c r="I6" s="20">
        <f>IF(8&lt;=$AL$6,H6+1,"")</f>
        <v>45865</v>
      </c>
      <c r="J6" s="20">
        <f>IF(9&lt;=$AL$6,I6+1,"")</f>
        <v>45866</v>
      </c>
      <c r="K6" s="20">
        <f>IF(10&lt;=$AL$6,J6+1,"")</f>
        <v>45867</v>
      </c>
      <c r="L6" s="20">
        <f>IF(11&lt;=$AL$6,K6+1,"")</f>
        <v>45868</v>
      </c>
      <c r="M6" s="20">
        <f>IF(12&lt;=$AL$6,L6+1,"")</f>
        <v>45869</v>
      </c>
      <c r="N6" s="20">
        <f>IF(13&lt;=$AL$6,M6+1,"")</f>
        <v>45870</v>
      </c>
      <c r="O6" s="20">
        <f>IF(14&lt;=$AL$6,N6+1,"")</f>
        <v>45871</v>
      </c>
      <c r="P6" s="20">
        <f>IF(15&lt;=$AL$6,O6+1,"")</f>
        <v>45872</v>
      </c>
      <c r="Q6" s="20">
        <f>IF(16&lt;=$AL$6,P6+1,"")</f>
        <v>45873</v>
      </c>
      <c r="R6" s="20">
        <f>IF(17&lt;=$AL$6,Q6+1,"")</f>
        <v>45874</v>
      </c>
      <c r="S6" s="20">
        <f>IF(18&lt;=$AL$6,R6+1,"")</f>
        <v>45875</v>
      </c>
      <c r="T6" s="20">
        <f>IF(19&lt;=$AL$6,S6+1,"")</f>
        <v>45876</v>
      </c>
      <c r="U6" s="20">
        <f>IF(20&lt;=$AL$6,T6+1,"")</f>
        <v>45877</v>
      </c>
      <c r="V6" s="20">
        <f>IF(21&lt;=$AL$6,U6+1,"")</f>
        <v>45878</v>
      </c>
      <c r="W6" s="20">
        <f>IF(22&lt;=$AL$6,V6+1,"")</f>
        <v>45879</v>
      </c>
      <c r="X6" s="20">
        <f>IF(23&lt;=$AL$6,W6+1,"")</f>
        <v>45880</v>
      </c>
      <c r="Y6" s="20">
        <f>IF(24&lt;=$AL$6,X6+1,"")</f>
        <v>45881</v>
      </c>
      <c r="Z6" s="20">
        <f>IF(25&lt;=$AL$6,Y6+1,"")</f>
        <v>45882</v>
      </c>
      <c r="AA6" s="20">
        <f>IF(26&lt;=$AL$6,Z6+1,"")</f>
        <v>45883</v>
      </c>
      <c r="AB6" s="20">
        <f>IF(27&lt;=$AL$6,AA6+1,"")</f>
        <v>45884</v>
      </c>
      <c r="AC6" s="20">
        <f>IF(28&lt;=$AL$6,AB6+1,"")</f>
        <v>45885</v>
      </c>
      <c r="AD6" s="20" t="str">
        <f>IF(29&lt;=$AL$6,AC6+1,"")</f>
        <v/>
      </c>
      <c r="AE6" s="20" t="str">
        <f>IF(30&lt;=$AL$6,AD6+1,"")</f>
        <v/>
      </c>
      <c r="AF6" s="20" t="str">
        <f>IF(31&lt;=$AL$6,AE6+1,"")</f>
        <v/>
      </c>
      <c r="AG6" s="20" t="str">
        <f>IF(32&lt;=$AL$6,AF6+1,"")</f>
        <v/>
      </c>
      <c r="AH6" s="20" t="str">
        <f>IF(33&lt;=$AL$6,AG6+1,"")</f>
        <v/>
      </c>
      <c r="AI6" s="20" t="str">
        <f>IF(34&lt;=$AL$6,AH6+1,"")</f>
        <v/>
      </c>
      <c r="AJ6" s="20" t="str">
        <f>IF(35&lt;=$AL$6,AI6+1,"")</f>
        <v/>
      </c>
      <c r="AK6" s="20"/>
      <c r="AL6" s="114">
        <v>28</v>
      </c>
      <c r="AM6" s="114">
        <f>Setup!$C$6</f>
        <v>5</v>
      </c>
    </row>
    <row r="7" spans="1:39" ht="24" customHeight="1">
      <c r="A7" s="21" t="s">
        <v>10</v>
      </c>
      <c r="B7" s="24" t="s">
        <v>13</v>
      </c>
      <c r="C7" s="24" t="s">
        <v>29</v>
      </c>
      <c r="D7" s="24" t="s">
        <v>33</v>
      </c>
      <c r="E7" s="24"/>
      <c r="F7" s="24"/>
      <c r="G7" s="24"/>
      <c r="H7" s="24"/>
      <c r="I7" s="24"/>
      <c r="J7" s="24"/>
      <c r="K7" s="24"/>
      <c r="L7" s="24"/>
      <c r="M7" s="24"/>
      <c r="N7" s="24"/>
      <c r="O7" s="24" t="s">
        <v>29</v>
      </c>
      <c r="P7" s="24" t="s">
        <v>29</v>
      </c>
      <c r="Q7" s="24" t="s">
        <v>29</v>
      </c>
      <c r="R7" s="24" t="s">
        <v>33</v>
      </c>
      <c r="S7" s="24" t="s">
        <v>33</v>
      </c>
      <c r="T7" s="24" t="s">
        <v>33</v>
      </c>
      <c r="U7" s="24"/>
      <c r="V7" s="24"/>
      <c r="W7" s="24"/>
      <c r="X7" s="24"/>
      <c r="Y7" s="24"/>
      <c r="Z7" s="24"/>
      <c r="AA7" s="24"/>
      <c r="AB7" s="24"/>
      <c r="AC7" s="24"/>
      <c r="AD7" s="24"/>
      <c r="AE7" s="24"/>
      <c r="AF7" s="24"/>
      <c r="AG7" s="24"/>
      <c r="AH7" s="24"/>
      <c r="AI7" s="24"/>
      <c r="AJ7" s="24"/>
      <c r="AK7" s="25"/>
      <c r="AL7" s="3"/>
      <c r="AM7" s="2"/>
    </row>
    <row r="8" spans="1:39" ht="20" customHeight="1">
      <c r="A8" s="22" t="s">
        <v>12</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116"/>
      <c r="AL8" s="3"/>
      <c r="AM8" s="2"/>
    </row>
    <row r="9" spans="1:39" ht="6" customHeight="1">
      <c r="A9" s="17"/>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3"/>
      <c r="AH9" s="3"/>
      <c r="AI9" s="3"/>
      <c r="AJ9" s="3"/>
      <c r="AK9" s="51"/>
      <c r="AL9" s="3"/>
      <c r="AM9" s="2"/>
    </row>
    <row r="10" spans="1:39" ht="24" customHeight="1">
      <c r="A10" s="19" t="s">
        <v>15</v>
      </c>
      <c r="B10" s="23" t="str" cm="1">
        <f t="array" ref="B10">INDEX({"Jan","Feb","Mar","Apr","May","Jun","Jul","Aug","Sep","Oct","Nov","Dec"},MOD(MATCH(B5,{"Jan","Feb","Mar","Apr","May","Jun","Jul","Aug","Sep","Oct","Nov","Dec"},0),12)+1)</f>
        <v>Feb</v>
      </c>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113" t="s">
        <v>92</v>
      </c>
      <c r="AM10" s="112" t="s">
        <v>75</v>
      </c>
    </row>
    <row r="11" spans="1:39" ht="20" customHeight="1">
      <c r="A11" s="70" t="s">
        <v>60</v>
      </c>
      <c r="B11" s="92">
        <f>$B$6+$AL$6</f>
        <v>45886</v>
      </c>
      <c r="C11" s="20">
        <f>IF(2&lt;=$AL$11,B11+1,"")</f>
        <v>45887</v>
      </c>
      <c r="D11" s="20">
        <f>IF(3&lt;=$AL$11,C11+1,"")</f>
        <v>45888</v>
      </c>
      <c r="E11" s="20">
        <f>IF(4&lt;=$AL$11,D11+1,"")</f>
        <v>45889</v>
      </c>
      <c r="F11" s="20">
        <f>IF(5&lt;=$AL$11,E11+1,"")</f>
        <v>45890</v>
      </c>
      <c r="G11" s="20">
        <f>IF(6&lt;=$AL$11,F11+1,"")</f>
        <v>45891</v>
      </c>
      <c r="H11" s="20">
        <f>IF(7&lt;=$AL$11,G11+1,"")</f>
        <v>45892</v>
      </c>
      <c r="I11" s="20">
        <f>IF(8&lt;=$AL$11,H11+1,"")</f>
        <v>45893</v>
      </c>
      <c r="J11" s="20">
        <f>IF(9&lt;=$AL$11,I11+1,"")</f>
        <v>45894</v>
      </c>
      <c r="K11" s="20">
        <f>IF(10&lt;=$AL$11,J11+1,"")</f>
        <v>45895</v>
      </c>
      <c r="L11" s="20">
        <f>IF(11&lt;=$AL$11,K11+1,"")</f>
        <v>45896</v>
      </c>
      <c r="M11" s="20">
        <f>IF(12&lt;=$AL$11,L11+1,"")</f>
        <v>45897</v>
      </c>
      <c r="N11" s="20">
        <f>IF(13&lt;=$AL$11,M11+1,"")</f>
        <v>45898</v>
      </c>
      <c r="O11" s="20">
        <f>IF(14&lt;=$AL$11,N11+1,"")</f>
        <v>45899</v>
      </c>
      <c r="P11" s="20">
        <f>IF(15&lt;=$AL$11,O11+1,"")</f>
        <v>45900</v>
      </c>
      <c r="Q11" s="20">
        <f>IF(16&lt;=$AL$11,P11+1,"")</f>
        <v>45901</v>
      </c>
      <c r="R11" s="20">
        <f>IF(17&lt;=$AL$11,Q11+1,"")</f>
        <v>45902</v>
      </c>
      <c r="S11" s="20">
        <f>IF(18&lt;=$AL$11,R11+1,"")</f>
        <v>45903</v>
      </c>
      <c r="T11" s="20">
        <f>IF(19&lt;=$AL$11,S11+1,"")</f>
        <v>45904</v>
      </c>
      <c r="U11" s="20">
        <f>IF(20&lt;=$AL$11,T11+1,"")</f>
        <v>45905</v>
      </c>
      <c r="V11" s="20">
        <f>IF(21&lt;=$AL$11,U11+1,"")</f>
        <v>45906</v>
      </c>
      <c r="W11" s="20">
        <f>IF(22&lt;=$AL$11,V11+1,"")</f>
        <v>45907</v>
      </c>
      <c r="X11" s="20">
        <f>IF(23&lt;=$AL$11,W11+1,"")</f>
        <v>45908</v>
      </c>
      <c r="Y11" s="20">
        <f>IF(24&lt;=$AL$11,X11+1,"")</f>
        <v>45909</v>
      </c>
      <c r="Z11" s="20">
        <f>IF(25&lt;=$AL$11,Y11+1,"")</f>
        <v>45910</v>
      </c>
      <c r="AA11" s="20">
        <f>IF(26&lt;=$AL$11,Z11+1,"")</f>
        <v>45911</v>
      </c>
      <c r="AB11" s="20">
        <f>IF(27&lt;=$AL$11,AA11+1,"")</f>
        <v>45912</v>
      </c>
      <c r="AC11" s="20">
        <f>IF(28&lt;=$AL$11,AB11+1,"")</f>
        <v>45913</v>
      </c>
      <c r="AD11" s="20">
        <f>IF(29&lt;=$AL$11,AC11+1,"")</f>
        <v>45914</v>
      </c>
      <c r="AE11" s="20">
        <f>IF(30&lt;=$AL$11,AD11+1,"")</f>
        <v>45915</v>
      </c>
      <c r="AF11" s="20" t="str">
        <f>IF(31&lt;=$AL$11,AE11+1,"")</f>
        <v/>
      </c>
      <c r="AG11" s="20" t="str">
        <f>IF(32&lt;=$AL$11,AF11+1,"")</f>
        <v/>
      </c>
      <c r="AH11" s="20" t="str">
        <f>IF(33&lt;=$AL$11,AG11+1,"")</f>
        <v/>
      </c>
      <c r="AI11" s="20" t="str">
        <f>IF(34&lt;=$AL$11,AH11+1,"")</f>
        <v/>
      </c>
      <c r="AJ11" s="20" t="str">
        <f>IF(35&lt;=$AL$11,AI11+1,"")</f>
        <v/>
      </c>
      <c r="AK11" s="20"/>
      <c r="AL11" s="114">
        <f>Setup!$C$5</f>
        <v>30</v>
      </c>
      <c r="AM11" s="114">
        <f>Setup!$C$6</f>
        <v>5</v>
      </c>
    </row>
    <row r="12" spans="1:39" ht="24" customHeight="1">
      <c r="A12" s="21" t="s">
        <v>10</v>
      </c>
      <c r="B12" s="24"/>
      <c r="C12" s="24"/>
      <c r="D12" s="24"/>
      <c r="E12" s="24"/>
      <c r="F12" s="24"/>
      <c r="G12" s="24"/>
      <c r="H12" s="24"/>
      <c r="I12" s="24"/>
      <c r="J12" s="24"/>
      <c r="K12" s="24"/>
      <c r="L12" s="24"/>
      <c r="M12" s="24"/>
      <c r="N12" s="24"/>
      <c r="O12" s="24"/>
      <c r="P12" s="24"/>
      <c r="Q12" s="24"/>
      <c r="R12" s="24"/>
      <c r="S12" s="24"/>
      <c r="T12" s="24"/>
      <c r="U12" s="24" t="s">
        <v>33</v>
      </c>
      <c r="V12" s="24"/>
      <c r="W12" s="24"/>
      <c r="X12" s="24"/>
      <c r="Y12" s="24"/>
      <c r="Z12" s="24"/>
      <c r="AA12" s="24" t="s">
        <v>33</v>
      </c>
      <c r="AB12" s="24"/>
      <c r="AC12" s="24"/>
      <c r="AD12" s="24"/>
      <c r="AE12" s="24"/>
      <c r="AF12" s="24"/>
      <c r="AG12" s="24"/>
      <c r="AH12" s="24"/>
      <c r="AI12" s="24"/>
      <c r="AJ12" s="24"/>
      <c r="AK12" s="25"/>
      <c r="AL12" s="3"/>
      <c r="AM12" s="2"/>
    </row>
    <row r="13" spans="1:39" ht="20" customHeight="1">
      <c r="A13" s="22" t="s">
        <v>12</v>
      </c>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116"/>
      <c r="AL13" s="3"/>
      <c r="AM13" s="2"/>
    </row>
    <row r="14" spans="1:39" ht="6" customHeight="1">
      <c r="A14" s="1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3"/>
      <c r="AH14" s="3"/>
      <c r="AI14" s="3"/>
      <c r="AJ14" s="3"/>
      <c r="AK14" s="51"/>
      <c r="AL14" s="3"/>
      <c r="AM14" s="2"/>
    </row>
    <row r="15" spans="1:39" ht="24" customHeight="1">
      <c r="A15" s="19" t="s">
        <v>15</v>
      </c>
      <c r="B15" s="23" t="str" cm="1">
        <f t="array" ref="B15">INDEX({"Jan","Feb","Mar","Apr","May","Jun","Jul","Aug","Sep","Oct","Nov","Dec"},MOD(MATCH(B10,{"Jan","Feb","Mar","Apr","May","Jun","Jul","Aug","Sep","Oct","Nov","Dec"},0),12)+1)</f>
        <v>Mar</v>
      </c>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113" t="s">
        <v>92</v>
      </c>
      <c r="AM15" s="112" t="s">
        <v>75</v>
      </c>
    </row>
    <row r="16" spans="1:39" ht="20" customHeight="1">
      <c r="A16" s="70" t="s">
        <v>60</v>
      </c>
      <c r="B16" s="92">
        <f>$B$11+$AL$11</f>
        <v>45916</v>
      </c>
      <c r="C16" s="20">
        <f>IF(2&lt;=$AL$16,B16+1,"")</f>
        <v>45917</v>
      </c>
      <c r="D16" s="20">
        <f>IF(3&lt;=$AL$16,C16+1,"")</f>
        <v>45918</v>
      </c>
      <c r="E16" s="20">
        <f>IF(4&lt;=$AL$16,D16+1,"")</f>
        <v>45919</v>
      </c>
      <c r="F16" s="20">
        <f>IF(5&lt;=$AL$16,E16+1,"")</f>
        <v>45920</v>
      </c>
      <c r="G16" s="20">
        <f>IF(6&lt;=$AL$16,F16+1,"")</f>
        <v>45921</v>
      </c>
      <c r="H16" s="20">
        <f>IF(7&lt;=$AL$16,G16+1,"")</f>
        <v>45922</v>
      </c>
      <c r="I16" s="20">
        <f>IF(8&lt;=$AL$16,H16+1,"")</f>
        <v>45923</v>
      </c>
      <c r="J16" s="20">
        <f>IF(9&lt;=$AL$16,I16+1,"")</f>
        <v>45924</v>
      </c>
      <c r="K16" s="20">
        <f>IF(10&lt;=$AL$16,J16+1,"")</f>
        <v>45925</v>
      </c>
      <c r="L16" s="20">
        <f>IF(11&lt;=$AL$16,K16+1,"")</f>
        <v>45926</v>
      </c>
      <c r="M16" s="20">
        <f>IF(12&lt;=$AL$16,L16+1,"")</f>
        <v>45927</v>
      </c>
      <c r="N16" s="20">
        <f>IF(13&lt;=$AL$16,M16+1,"")</f>
        <v>45928</v>
      </c>
      <c r="O16" s="20">
        <f>IF(14&lt;=$AL$16,N16+1,"")</f>
        <v>45929</v>
      </c>
      <c r="P16" s="20">
        <f>IF(15&lt;=$AL$16,O16+1,"")</f>
        <v>45930</v>
      </c>
      <c r="Q16" s="20">
        <f>IF(16&lt;=$AL$16,P16+1,"")</f>
        <v>45931</v>
      </c>
      <c r="R16" s="20">
        <f>IF(17&lt;=$AL$16,Q16+1,"")</f>
        <v>45932</v>
      </c>
      <c r="S16" s="20">
        <f>IF(18&lt;=$AL$16,R16+1,"")</f>
        <v>45933</v>
      </c>
      <c r="T16" s="20">
        <f>IF(19&lt;=$AL$16,S16+1,"")</f>
        <v>45934</v>
      </c>
      <c r="U16" s="20">
        <f>IF(20&lt;=$AL$16,T16+1,"")</f>
        <v>45935</v>
      </c>
      <c r="V16" s="20">
        <f>IF(21&lt;=$AL$16,U16+1,"")</f>
        <v>45936</v>
      </c>
      <c r="W16" s="20">
        <f>IF(22&lt;=$AL$16,V16+1,"")</f>
        <v>45937</v>
      </c>
      <c r="X16" s="20">
        <f>IF(23&lt;=$AL$16,W16+1,"")</f>
        <v>45938</v>
      </c>
      <c r="Y16" s="20">
        <f>IF(24&lt;=$AL$16,X16+1,"")</f>
        <v>45939</v>
      </c>
      <c r="Z16" s="20">
        <f>IF(25&lt;=$AL$16,Y16+1,"")</f>
        <v>45940</v>
      </c>
      <c r="AA16" s="20">
        <f>IF(26&lt;=$AL$16,Z16+1,"")</f>
        <v>45941</v>
      </c>
      <c r="AB16" s="20">
        <f>IF(27&lt;=$AL$16,AA16+1,"")</f>
        <v>45942</v>
      </c>
      <c r="AC16" s="20">
        <f>IF(28&lt;=$AL$16,AB16+1,"")</f>
        <v>45943</v>
      </c>
      <c r="AD16" s="20">
        <f>IF(29&lt;=$AL$16,AC16+1,"")</f>
        <v>45944</v>
      </c>
      <c r="AE16" s="20">
        <f>IF(30&lt;=$AL$16,AD16+1,"")</f>
        <v>45945</v>
      </c>
      <c r="AF16" s="20" t="str">
        <f>IF(31&lt;=$AL$16,AE16+1,"")</f>
        <v/>
      </c>
      <c r="AG16" s="20" t="str">
        <f>IF(32&lt;=$AL$16,AF16+1,"")</f>
        <v/>
      </c>
      <c r="AH16" s="20" t="str">
        <f>IF(33&lt;=$AL$16,AG16+1,"")</f>
        <v/>
      </c>
      <c r="AI16" s="20" t="str">
        <f>IF(34&lt;=$AL$16,AH16+1,"")</f>
        <v/>
      </c>
      <c r="AJ16" s="20" t="str">
        <f>IF(35&lt;=$AL$16,AI16+1,"")</f>
        <v/>
      </c>
      <c r="AK16" s="20"/>
      <c r="AL16" s="114">
        <f>Setup!$C$5</f>
        <v>30</v>
      </c>
      <c r="AM16" s="114">
        <f>Setup!$C$6</f>
        <v>5</v>
      </c>
    </row>
    <row r="17" spans="1:39" ht="24" customHeight="1">
      <c r="A17" s="21" t="s">
        <v>10</v>
      </c>
      <c r="B17" s="24"/>
      <c r="C17" s="24"/>
      <c r="D17" s="24"/>
      <c r="E17" s="24"/>
      <c r="F17" s="24"/>
      <c r="G17" s="24"/>
      <c r="H17" s="24"/>
      <c r="I17" s="24"/>
      <c r="J17" s="24"/>
      <c r="K17" s="24"/>
      <c r="L17" s="24"/>
      <c r="M17" s="24"/>
      <c r="N17" s="24"/>
      <c r="O17" s="24"/>
      <c r="P17" s="24"/>
      <c r="Q17" s="24"/>
      <c r="R17" s="24"/>
      <c r="S17" s="24"/>
      <c r="T17" s="24"/>
      <c r="U17" s="24" t="s">
        <v>33</v>
      </c>
      <c r="V17" s="24"/>
      <c r="W17" s="24"/>
      <c r="X17" s="24"/>
      <c r="Y17" s="24" t="s">
        <v>33</v>
      </c>
      <c r="Z17" s="24"/>
      <c r="AA17" s="24"/>
      <c r="AB17" s="24"/>
      <c r="AC17" s="24"/>
      <c r="AD17" s="24"/>
      <c r="AE17" s="24"/>
      <c r="AF17" s="24"/>
      <c r="AG17" s="24"/>
      <c r="AH17" s="24"/>
      <c r="AI17" s="24"/>
      <c r="AJ17" s="24"/>
      <c r="AK17" s="25"/>
      <c r="AL17" s="3"/>
      <c r="AM17" s="2"/>
    </row>
    <row r="18" spans="1:39" ht="20" customHeight="1">
      <c r="A18" s="22" t="s">
        <v>12</v>
      </c>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116"/>
      <c r="AL18" s="3"/>
      <c r="AM18" s="2"/>
    </row>
    <row r="19" spans="1:39" ht="6" customHeight="1">
      <c r="A19" s="1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3"/>
      <c r="AH19" s="3"/>
      <c r="AI19" s="3"/>
      <c r="AJ19" s="3"/>
      <c r="AK19" s="51"/>
      <c r="AL19" s="3"/>
      <c r="AM19" s="2"/>
    </row>
    <row r="20" spans="1:39" ht="24" customHeight="1">
      <c r="A20" s="19" t="s">
        <v>15</v>
      </c>
      <c r="B20" s="23" t="str" cm="1">
        <f t="array" ref="B20">INDEX({"Jan","Feb","Mar","Apr","May","Jun","Jul","Aug","Sep","Oct","Nov","Dec"},MOD(MATCH(B15,{"Jan","Feb","Mar","Apr","May","Jun","Jul","Aug","Sep","Oct","Nov","Dec"},0),12)+1)</f>
        <v>Apr</v>
      </c>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113" t="s">
        <v>92</v>
      </c>
      <c r="AM20" s="112" t="s">
        <v>75</v>
      </c>
    </row>
    <row r="21" spans="1:39" ht="20" customHeight="1">
      <c r="A21" s="70" t="s">
        <v>60</v>
      </c>
      <c r="B21" s="92">
        <f>$B$16+$AL$16</f>
        <v>45946</v>
      </c>
      <c r="C21" s="20">
        <f>IF(2&lt;=$AL$21,B21+1,"")</f>
        <v>45947</v>
      </c>
      <c r="D21" s="20">
        <f>IF(3&lt;=$AL$21,C21+1,"")</f>
        <v>45948</v>
      </c>
      <c r="E21" s="20">
        <f>IF(4&lt;=$AL$21,D21+1,"")</f>
        <v>45949</v>
      </c>
      <c r="F21" s="20">
        <f>IF(5&lt;=$AL$21,E21+1,"")</f>
        <v>45950</v>
      </c>
      <c r="G21" s="20">
        <f>IF(6&lt;=$AL$21,F21+1,"")</f>
        <v>45951</v>
      </c>
      <c r="H21" s="20">
        <f>IF(7&lt;=$AL$21,G21+1,"")</f>
        <v>45952</v>
      </c>
      <c r="I21" s="20">
        <f>IF(8&lt;=$AL$21,H21+1,"")</f>
        <v>45953</v>
      </c>
      <c r="J21" s="20">
        <f>IF(9&lt;=$AL$21,I21+1,"")</f>
        <v>45954</v>
      </c>
      <c r="K21" s="20">
        <f>IF(10&lt;=$AL$21,J21+1,"")</f>
        <v>45955</v>
      </c>
      <c r="L21" s="20">
        <f>IF(11&lt;=$AL$21,K21+1,"")</f>
        <v>45956</v>
      </c>
      <c r="M21" s="20">
        <f>IF(12&lt;=$AL$21,L21+1,"")</f>
        <v>45957</v>
      </c>
      <c r="N21" s="20">
        <f>IF(13&lt;=$AL$21,M21+1,"")</f>
        <v>45958</v>
      </c>
      <c r="O21" s="20">
        <f>IF(14&lt;=$AL$21,N21+1,"")</f>
        <v>45959</v>
      </c>
      <c r="P21" s="20">
        <f>IF(15&lt;=$AL$21,O21+1,"")</f>
        <v>45960</v>
      </c>
      <c r="Q21" s="20">
        <f>IF(16&lt;=$AL$21,P21+1,"")</f>
        <v>45961</v>
      </c>
      <c r="R21" s="20">
        <f>IF(17&lt;=$AL$21,Q21+1,"")</f>
        <v>45962</v>
      </c>
      <c r="S21" s="20">
        <f>IF(18&lt;=$AL$21,R21+1,"")</f>
        <v>45963</v>
      </c>
      <c r="T21" s="20">
        <f>IF(19&lt;=$AL$21,S21+1,"")</f>
        <v>45964</v>
      </c>
      <c r="U21" s="20">
        <f>IF(20&lt;=$AL$21,T21+1,"")</f>
        <v>45965</v>
      </c>
      <c r="V21" s="20">
        <f>IF(21&lt;=$AL$21,U21+1,"")</f>
        <v>45966</v>
      </c>
      <c r="W21" s="20">
        <f>IF(22&lt;=$AL$21,V21+1,"")</f>
        <v>45967</v>
      </c>
      <c r="X21" s="20">
        <f>IF(23&lt;=$AL$21,W21+1,"")</f>
        <v>45968</v>
      </c>
      <c r="Y21" s="20">
        <f>IF(24&lt;=$AL$21,X21+1,"")</f>
        <v>45969</v>
      </c>
      <c r="Z21" s="20">
        <f>IF(25&lt;=$AL$21,Y21+1,"")</f>
        <v>45970</v>
      </c>
      <c r="AA21" s="20">
        <f>IF(26&lt;=$AL$21,Z21+1,"")</f>
        <v>45971</v>
      </c>
      <c r="AB21" s="20">
        <f>IF(27&lt;=$AL$21,AA21+1,"")</f>
        <v>45972</v>
      </c>
      <c r="AC21" s="20">
        <f>IF(28&lt;=$AL$21,AB21+1,"")</f>
        <v>45973</v>
      </c>
      <c r="AD21" s="20">
        <f>IF(29&lt;=$AL$21,AC21+1,"")</f>
        <v>45974</v>
      </c>
      <c r="AE21" s="20">
        <f>IF(30&lt;=$AL$21,AD21+1,"")</f>
        <v>45975</v>
      </c>
      <c r="AF21" s="20" t="str">
        <f>IF(31&lt;=$AL$21,AE21+1,"")</f>
        <v/>
      </c>
      <c r="AG21" s="20" t="str">
        <f>IF(32&lt;=$AL$21,AF21+1,"")</f>
        <v/>
      </c>
      <c r="AH21" s="20" t="str">
        <f>IF(33&lt;=$AL$21,AG21+1,"")</f>
        <v/>
      </c>
      <c r="AI21" s="20" t="str">
        <f>IF(34&lt;=$AL$21,AH21+1,"")</f>
        <v/>
      </c>
      <c r="AJ21" s="20" t="str">
        <f>IF(35&lt;=$AL$21,AI21+1,"")</f>
        <v/>
      </c>
      <c r="AK21" s="20"/>
      <c r="AL21" s="114">
        <f>Setup!$C$5</f>
        <v>30</v>
      </c>
      <c r="AM21" s="114">
        <f>Setup!$C$6</f>
        <v>5</v>
      </c>
    </row>
    <row r="22" spans="1:39" ht="24" customHeight="1">
      <c r="A22" s="21" t="s">
        <v>10</v>
      </c>
      <c r="B22" s="24"/>
      <c r="C22" s="24"/>
      <c r="D22" s="24"/>
      <c r="E22" s="24"/>
      <c r="F22" s="24"/>
      <c r="G22" s="24"/>
      <c r="H22" s="24"/>
      <c r="I22" s="24"/>
      <c r="J22" s="24"/>
      <c r="K22" s="24"/>
      <c r="L22" s="24"/>
      <c r="M22" s="24"/>
      <c r="N22" s="24"/>
      <c r="O22" s="24"/>
      <c r="P22" s="24"/>
      <c r="Q22" s="24"/>
      <c r="R22" s="24"/>
      <c r="S22" s="24"/>
      <c r="T22" s="24"/>
      <c r="U22" s="24" t="s">
        <v>33</v>
      </c>
      <c r="V22" s="24" t="s">
        <v>33</v>
      </c>
      <c r="W22" s="24" t="s">
        <v>33</v>
      </c>
      <c r="X22" s="24" t="s">
        <v>33</v>
      </c>
      <c r="Y22" s="24" t="s">
        <v>33</v>
      </c>
      <c r="Z22" s="24"/>
      <c r="AA22" s="24"/>
      <c r="AB22" s="24"/>
      <c r="AC22" s="24"/>
      <c r="AD22" s="24"/>
      <c r="AE22" s="24"/>
      <c r="AF22" s="24"/>
      <c r="AG22" s="24"/>
      <c r="AH22" s="24"/>
      <c r="AI22" s="24"/>
      <c r="AJ22" s="24"/>
      <c r="AK22" s="25"/>
      <c r="AL22" s="3"/>
      <c r="AM22" s="2"/>
    </row>
    <row r="23" spans="1:39" ht="20" customHeight="1">
      <c r="A23" s="22" t="s">
        <v>12</v>
      </c>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116"/>
      <c r="AL23" s="3"/>
      <c r="AM23" s="2"/>
    </row>
    <row r="24" spans="1:39" ht="6" customHeight="1">
      <c r="A24" s="17"/>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3"/>
      <c r="AH24" s="3"/>
      <c r="AI24" s="3"/>
      <c r="AJ24" s="3"/>
      <c r="AK24" s="51"/>
      <c r="AL24" s="3"/>
      <c r="AM24" s="2"/>
    </row>
    <row r="25" spans="1:39" ht="24" customHeight="1">
      <c r="A25" s="19" t="s">
        <v>15</v>
      </c>
      <c r="B25" s="23" t="str" cm="1">
        <f t="array" ref="B25">INDEX({"Jan","Feb","Mar","Apr","May","Jun","Jul","Aug","Sep","Oct","Nov","Dec"},MOD(MATCH(B20,{"Jan","Feb","Mar","Apr","May","Jun","Jul","Aug","Sep","Oct","Nov","Dec"},0),12)+1)</f>
        <v>May</v>
      </c>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113" t="s">
        <v>92</v>
      </c>
      <c r="AM25" s="112" t="s">
        <v>75</v>
      </c>
    </row>
    <row r="26" spans="1:39" ht="20" customHeight="1">
      <c r="A26" s="70" t="s">
        <v>60</v>
      </c>
      <c r="B26" s="92">
        <f>$B$21+$AL$21</f>
        <v>45976</v>
      </c>
      <c r="C26" s="20">
        <f>IF(2&lt;=$AL$26,B26+1,"")</f>
        <v>45977</v>
      </c>
      <c r="D26" s="20">
        <f>IF(3&lt;=$AL$26,C26+1,"")</f>
        <v>45978</v>
      </c>
      <c r="E26" s="20">
        <f>IF(4&lt;=$AL$26,D26+1,"")</f>
        <v>45979</v>
      </c>
      <c r="F26" s="20">
        <f>IF(5&lt;=$AL$26,E26+1,"")</f>
        <v>45980</v>
      </c>
      <c r="G26" s="20">
        <f>IF(6&lt;=$AL$26,F26+1,"")</f>
        <v>45981</v>
      </c>
      <c r="H26" s="20">
        <f>IF(7&lt;=$AL$26,G26+1,"")</f>
        <v>45982</v>
      </c>
      <c r="I26" s="20">
        <f>IF(8&lt;=$AL$26,H26+1,"")</f>
        <v>45983</v>
      </c>
      <c r="J26" s="20">
        <f>IF(9&lt;=$AL$26,I26+1,"")</f>
        <v>45984</v>
      </c>
      <c r="K26" s="20">
        <f>IF(10&lt;=$AL$26,J26+1,"")</f>
        <v>45985</v>
      </c>
      <c r="L26" s="20">
        <f>IF(11&lt;=$AL$26,K26+1,"")</f>
        <v>45986</v>
      </c>
      <c r="M26" s="20">
        <f>IF(12&lt;=$AL$26,L26+1,"")</f>
        <v>45987</v>
      </c>
      <c r="N26" s="20">
        <f>IF(13&lt;=$AL$26,M26+1,"")</f>
        <v>45988</v>
      </c>
      <c r="O26" s="20">
        <f>IF(14&lt;=$AL$26,N26+1,"")</f>
        <v>45989</v>
      </c>
      <c r="P26" s="20">
        <f>IF(15&lt;=$AL$26,O26+1,"")</f>
        <v>45990</v>
      </c>
      <c r="Q26" s="20">
        <f>IF(16&lt;=$AL$26,P26+1,"")</f>
        <v>45991</v>
      </c>
      <c r="R26" s="20">
        <f>IF(17&lt;=$AL$26,Q26+1,"")</f>
        <v>45992</v>
      </c>
      <c r="S26" s="20">
        <f>IF(18&lt;=$AL$26,R26+1,"")</f>
        <v>45993</v>
      </c>
      <c r="T26" s="20">
        <f>IF(19&lt;=$AL$26,S26+1,"")</f>
        <v>45994</v>
      </c>
      <c r="U26" s="20">
        <f>IF(20&lt;=$AL$26,T26+1,"")</f>
        <v>45995</v>
      </c>
      <c r="V26" s="20">
        <f>IF(21&lt;=$AL$26,U26+1,"")</f>
        <v>45996</v>
      </c>
      <c r="W26" s="20">
        <f>IF(22&lt;=$AL$26,V26+1,"")</f>
        <v>45997</v>
      </c>
      <c r="X26" s="20">
        <f>IF(23&lt;=$AL$26,W26+1,"")</f>
        <v>45998</v>
      </c>
      <c r="Y26" s="20">
        <f>IF(24&lt;=$AL$26,X26+1,"")</f>
        <v>45999</v>
      </c>
      <c r="Z26" s="20">
        <f>IF(25&lt;=$AL$26,Y26+1,"")</f>
        <v>46000</v>
      </c>
      <c r="AA26" s="20">
        <f>IF(26&lt;=$AL$26,Z26+1,"")</f>
        <v>46001</v>
      </c>
      <c r="AB26" s="20">
        <f>IF(27&lt;=$AL$26,AA26+1,"")</f>
        <v>46002</v>
      </c>
      <c r="AC26" s="20">
        <f>IF(28&lt;=$AL$26,AB26+1,"")</f>
        <v>46003</v>
      </c>
      <c r="AD26" s="20">
        <f>IF(29&lt;=$AL$26,AC26+1,"")</f>
        <v>46004</v>
      </c>
      <c r="AE26" s="20">
        <f>IF(30&lt;=$AL$26,AD26+1,"")</f>
        <v>46005</v>
      </c>
      <c r="AF26" s="20" t="str">
        <f>IF(31&lt;=$AL$26,AE26+1,"")</f>
        <v/>
      </c>
      <c r="AG26" s="20" t="str">
        <f>IF(32&lt;=$AL$26,AF26+1,"")</f>
        <v/>
      </c>
      <c r="AH26" s="20" t="str">
        <f>IF(33&lt;=$AL$26,AG26+1,"")</f>
        <v/>
      </c>
      <c r="AI26" s="20" t="str">
        <f>IF(34&lt;=$AL$26,AH26+1,"")</f>
        <v/>
      </c>
      <c r="AJ26" s="20" t="str">
        <f>IF(35&lt;=$AL$26,AI26+1,"")</f>
        <v/>
      </c>
      <c r="AK26" s="20"/>
      <c r="AL26" s="114">
        <f>Setup!$C$5</f>
        <v>30</v>
      </c>
      <c r="AM26" s="114">
        <f>Setup!$C$6</f>
        <v>5</v>
      </c>
    </row>
    <row r="27" spans="1:39" ht="24" customHeight="1">
      <c r="A27" s="21" t="s">
        <v>10</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5"/>
      <c r="AL27" s="3"/>
      <c r="AM27" s="2"/>
    </row>
    <row r="28" spans="1:39" ht="20" customHeight="1">
      <c r="A28" s="22" t="s">
        <v>12</v>
      </c>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116"/>
      <c r="AL28" s="3"/>
      <c r="AM28" s="2"/>
    </row>
    <row r="29" spans="1:39" ht="6" customHeight="1">
      <c r="A29" s="17"/>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3"/>
      <c r="AH29" s="3"/>
      <c r="AI29" s="3"/>
      <c r="AJ29" s="3"/>
      <c r="AK29" s="51"/>
      <c r="AL29" s="3"/>
      <c r="AM29" s="2"/>
    </row>
    <row r="30" spans="1:39" ht="24" customHeight="1">
      <c r="A30" s="19" t="s">
        <v>15</v>
      </c>
      <c r="B30" s="23" t="str" cm="1">
        <f t="array" ref="B30">INDEX({"Jan","Feb","Mar","Apr","May","Jun","Jul","Aug","Sep","Oct","Nov","Dec"},MOD(MATCH(B25,{"Jan","Feb","Mar","Apr","May","Jun","Jul","Aug","Sep","Oct","Nov","Dec"},0),12)+1)</f>
        <v>Jun</v>
      </c>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3"/>
      <c r="AH30" s="3"/>
      <c r="AI30" s="3"/>
      <c r="AJ30" s="3"/>
      <c r="AK30" s="51"/>
      <c r="AL30" s="3"/>
      <c r="AM30" s="2"/>
    </row>
    <row r="31" spans="1:39" ht="20" customHeight="1">
      <c r="A31" s="70" t="s">
        <v>60</v>
      </c>
      <c r="B31" s="92">
        <f>B26+Setup!$C$5</f>
        <v>46006</v>
      </c>
      <c r="C31" s="20">
        <f>IF(COLUMN()-1&lt;=Setup!$C$5,B31+1,"")</f>
        <v>46007</v>
      </c>
      <c r="D31" s="20">
        <f>IF(COLUMN()-1&lt;=Setup!$C$5,C31+1,"")</f>
        <v>46008</v>
      </c>
      <c r="E31" s="20">
        <f>IF(COLUMN()-1&lt;=Setup!$C$5,D31+1,"")</f>
        <v>46009</v>
      </c>
      <c r="F31" s="20">
        <f>IF(COLUMN()-1&lt;=Setup!$C$5,E31+1,"")</f>
        <v>46010</v>
      </c>
      <c r="G31" s="20">
        <f>IF(COLUMN()-1&lt;=Setup!$C$5,F31+1,"")</f>
        <v>46011</v>
      </c>
      <c r="H31" s="20">
        <f>IF(COLUMN()-1&lt;=Setup!$C$5,G31+1,"")</f>
        <v>46012</v>
      </c>
      <c r="I31" s="20">
        <f>IF(COLUMN()-1&lt;=Setup!$C$5,H31+1,"")</f>
        <v>46013</v>
      </c>
      <c r="J31" s="20">
        <f>IF(COLUMN()-1&lt;=Setup!$C$5,I31+1,"")</f>
        <v>46014</v>
      </c>
      <c r="K31" s="20">
        <f>IF(COLUMN()-1&lt;=Setup!$C$5,J31+1,"")</f>
        <v>46015</v>
      </c>
      <c r="L31" s="20">
        <f>IF(COLUMN()-1&lt;=Setup!$C$5,K31+1,"")</f>
        <v>46016</v>
      </c>
      <c r="M31" s="20">
        <f>IF(COLUMN()-1&lt;=Setup!$C$5,L31+1,"")</f>
        <v>46017</v>
      </c>
      <c r="N31" s="20">
        <f>IF(COLUMN()-1&lt;=Setup!$C$5,M31+1,"")</f>
        <v>46018</v>
      </c>
      <c r="O31" s="20">
        <f>IF(COLUMN()-1&lt;=Setup!$C$5,N31+1,"")</f>
        <v>46019</v>
      </c>
      <c r="P31" s="20">
        <f>IF(COLUMN()-1&lt;=Setup!$C$5,O31+1,"")</f>
        <v>46020</v>
      </c>
      <c r="Q31" s="20">
        <f>IF(COLUMN()-1&lt;=Setup!$C$5,P31+1,"")</f>
        <v>46021</v>
      </c>
      <c r="R31" s="20">
        <f>IF(COLUMN()-1&lt;=Setup!$C$5,Q31+1,"")</f>
        <v>46022</v>
      </c>
      <c r="S31" s="20">
        <f>IF(COLUMN()-1&lt;=Setup!$C$5,R31+1,"")</f>
        <v>46023</v>
      </c>
      <c r="T31" s="20">
        <f>IF(COLUMN()-1&lt;=Setup!$C$5,S31+1,"")</f>
        <v>46024</v>
      </c>
      <c r="U31" s="20">
        <f>IF(COLUMN()-1&lt;=Setup!$C$5,T31+1,"")</f>
        <v>46025</v>
      </c>
      <c r="V31" s="20">
        <f>IF(COLUMN()-1&lt;=Setup!$C$5,U31+1,"")</f>
        <v>46026</v>
      </c>
      <c r="W31" s="20">
        <f>IF(COLUMN()-1&lt;=Setup!$C$5,V31+1,"")</f>
        <v>46027</v>
      </c>
      <c r="X31" s="20">
        <f>IF(COLUMN()-1&lt;=Setup!$C$5,W31+1,"")</f>
        <v>46028</v>
      </c>
      <c r="Y31" s="20">
        <f>IF(COLUMN()-1&lt;=Setup!$C$5,X31+1,"")</f>
        <v>46029</v>
      </c>
      <c r="Z31" s="20">
        <f>IF(COLUMN()-1&lt;=Setup!$C$5,Y31+1,"")</f>
        <v>46030</v>
      </c>
      <c r="AA31" s="20">
        <f>IF(COLUMN()-1&lt;=Setup!$C$5,Z31+1,"")</f>
        <v>46031</v>
      </c>
      <c r="AB31" s="20">
        <f>IF(COLUMN()-1&lt;=Setup!$C$5,AA31+1,"")</f>
        <v>46032</v>
      </c>
      <c r="AC31" s="20">
        <f>IF(COLUMN()-1&lt;=Setup!$C$5,AB31+1,"")</f>
        <v>46033</v>
      </c>
      <c r="AD31" s="20">
        <f>IF(COLUMN()-1&lt;=Setup!$C$5,AC31+1,"")</f>
        <v>46034</v>
      </c>
      <c r="AE31" s="20">
        <f>IF(COLUMN()-1&lt;=Setup!$C$5,AD31+1,"")</f>
        <v>46035</v>
      </c>
      <c r="AF31" s="20" t="str">
        <f>IF(COLUMN()-1&lt;=Setup!$C$5,AE31+1,"")</f>
        <v/>
      </c>
      <c r="AG31" s="3"/>
      <c r="AH31" s="3"/>
      <c r="AI31" s="3"/>
      <c r="AJ31" s="3"/>
      <c r="AK31" s="3"/>
      <c r="AL31" s="3"/>
    </row>
    <row r="32" spans="1:39" ht="24" customHeight="1">
      <c r="A32" s="21" t="s">
        <v>10</v>
      </c>
      <c r="B32" s="24"/>
      <c r="C32" s="24"/>
      <c r="D32" s="24"/>
      <c r="E32" s="24"/>
      <c r="F32" s="24"/>
      <c r="G32" s="24"/>
      <c r="H32" s="24"/>
      <c r="I32" s="24"/>
      <c r="J32" s="24"/>
      <c r="K32" s="24"/>
      <c r="L32" s="24"/>
      <c r="M32" s="24"/>
      <c r="N32" s="24"/>
      <c r="O32" s="24"/>
      <c r="P32" s="24"/>
      <c r="Q32" s="24"/>
      <c r="R32" s="24"/>
      <c r="S32" s="24" t="s">
        <v>13</v>
      </c>
      <c r="T32" s="24"/>
      <c r="U32" s="24"/>
      <c r="V32" s="24"/>
      <c r="W32" s="24"/>
      <c r="X32" s="24"/>
      <c r="Y32" s="24"/>
      <c r="Z32" s="24"/>
      <c r="AA32" s="24"/>
      <c r="AB32" s="24"/>
      <c r="AC32" s="24"/>
      <c r="AD32" s="25"/>
      <c r="AE32" s="25"/>
      <c r="AF32" s="25"/>
      <c r="AG32" s="3"/>
      <c r="AH32" s="3"/>
      <c r="AI32" s="3"/>
      <c r="AJ32" s="3"/>
      <c r="AK32" s="3"/>
      <c r="AL32" s="3"/>
    </row>
    <row r="33" spans="1:38" ht="20" customHeight="1">
      <c r="A33" s="22" t="s">
        <v>12</v>
      </c>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3"/>
      <c r="AH33" s="3"/>
      <c r="AI33" s="3"/>
      <c r="AJ33" s="3"/>
      <c r="AK33" s="3"/>
      <c r="AL33" s="3"/>
    </row>
    <row r="34" spans="1:38" ht="6" customHeight="1">
      <c r="A34" s="1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3"/>
      <c r="AH34" s="3"/>
      <c r="AI34" s="3"/>
      <c r="AJ34" s="3"/>
      <c r="AK34" s="3"/>
      <c r="AL34" s="3"/>
    </row>
    <row r="35" spans="1:38" ht="24" customHeight="1">
      <c r="A35" s="19" t="s">
        <v>15</v>
      </c>
      <c r="B35" s="23" t="str" cm="1">
        <f t="array" ref="B35">INDEX({"Jan","Feb","Mar","Apr","May","Jun","Jul","Aug","Sep","Oct","Nov","Dec"},MOD(MATCH(B30,{"Jan","Feb","Mar","Apr","May","Jun","Jul","Aug","Sep","Oct","Nov","Dec"},0),12)+1)</f>
        <v>Jul</v>
      </c>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3"/>
      <c r="AH35" s="3"/>
      <c r="AI35" s="3"/>
      <c r="AJ35" s="3"/>
      <c r="AK35" s="3"/>
      <c r="AL35" s="3"/>
    </row>
    <row r="36" spans="1:38" ht="20" customHeight="1">
      <c r="A36" s="70" t="s">
        <v>60</v>
      </c>
      <c r="B36" s="92">
        <f>B31+Setup!$C$5</f>
        <v>46036</v>
      </c>
      <c r="C36" s="20">
        <f>IF(COLUMN()-1&lt;=Setup!$C$5,B36+1,"")</f>
        <v>46037</v>
      </c>
      <c r="D36" s="20">
        <f>IF(COLUMN()-1&lt;=Setup!$C$5,C36+1,"")</f>
        <v>46038</v>
      </c>
      <c r="E36" s="20">
        <f>IF(COLUMN()-1&lt;=Setup!$C$5,D36+1,"")</f>
        <v>46039</v>
      </c>
      <c r="F36" s="20">
        <f>IF(COLUMN()-1&lt;=Setup!$C$5,E36+1,"")</f>
        <v>46040</v>
      </c>
      <c r="G36" s="20">
        <f>IF(COLUMN()-1&lt;=Setup!$C$5,F36+1,"")</f>
        <v>46041</v>
      </c>
      <c r="H36" s="20">
        <f>IF(COLUMN()-1&lt;=Setup!$C$5,G36+1,"")</f>
        <v>46042</v>
      </c>
      <c r="I36" s="20">
        <f>IF(COLUMN()-1&lt;=Setup!$C$5,H36+1,"")</f>
        <v>46043</v>
      </c>
      <c r="J36" s="20">
        <f>IF(COLUMN()-1&lt;=Setup!$C$5,I36+1,"")</f>
        <v>46044</v>
      </c>
      <c r="K36" s="20">
        <f>IF(COLUMN()-1&lt;=Setup!$C$5,J36+1,"")</f>
        <v>46045</v>
      </c>
      <c r="L36" s="20">
        <f>IF(COLUMN()-1&lt;=Setup!$C$5,K36+1,"")</f>
        <v>46046</v>
      </c>
      <c r="M36" s="20">
        <f>IF(COLUMN()-1&lt;=Setup!$C$5,L36+1,"")</f>
        <v>46047</v>
      </c>
      <c r="N36" s="20">
        <f>IF(COLUMN()-1&lt;=Setup!$C$5,M36+1,"")</f>
        <v>46048</v>
      </c>
      <c r="O36" s="20">
        <f>IF(COLUMN()-1&lt;=Setup!$C$5,N36+1,"")</f>
        <v>46049</v>
      </c>
      <c r="P36" s="20">
        <f>IF(COLUMN()-1&lt;=Setup!$C$5,O36+1,"")</f>
        <v>46050</v>
      </c>
      <c r="Q36" s="20">
        <f>IF(COLUMN()-1&lt;=Setup!$C$5,P36+1,"")</f>
        <v>46051</v>
      </c>
      <c r="R36" s="20">
        <f>IF(COLUMN()-1&lt;=Setup!$C$5,Q36+1,"")</f>
        <v>46052</v>
      </c>
      <c r="S36" s="20">
        <f>IF(COLUMN()-1&lt;=Setup!$C$5,R36+1,"")</f>
        <v>46053</v>
      </c>
      <c r="T36" s="20">
        <f>IF(COLUMN()-1&lt;=Setup!$C$5,S36+1,"")</f>
        <v>46054</v>
      </c>
      <c r="U36" s="20">
        <f>IF(COLUMN()-1&lt;=Setup!$C$5,T36+1,"")</f>
        <v>46055</v>
      </c>
      <c r="V36" s="20">
        <f>IF(COLUMN()-1&lt;=Setup!$C$5,U36+1,"")</f>
        <v>46056</v>
      </c>
      <c r="W36" s="20">
        <f>IF(COLUMN()-1&lt;=Setup!$C$5,V36+1,"")</f>
        <v>46057</v>
      </c>
      <c r="X36" s="20">
        <f>IF(COLUMN()-1&lt;=Setup!$C$5,W36+1,"")</f>
        <v>46058</v>
      </c>
      <c r="Y36" s="20">
        <f>IF(COLUMN()-1&lt;=Setup!$C$5,X36+1,"")</f>
        <v>46059</v>
      </c>
      <c r="Z36" s="20">
        <f>IF(COLUMN()-1&lt;=Setup!$C$5,Y36+1,"")</f>
        <v>46060</v>
      </c>
      <c r="AA36" s="20">
        <f>IF(COLUMN()-1&lt;=Setup!$C$5,Z36+1,"")</f>
        <v>46061</v>
      </c>
      <c r="AB36" s="20">
        <f>IF(COLUMN()-1&lt;=Setup!$C$5,AA36+1,"")</f>
        <v>46062</v>
      </c>
      <c r="AC36" s="20">
        <f>IF(COLUMN()-1&lt;=Setup!$C$5,AB36+1,"")</f>
        <v>46063</v>
      </c>
      <c r="AD36" s="20">
        <f>IF(COLUMN()-1&lt;=Setup!$C$5,AC36+1,"")</f>
        <v>46064</v>
      </c>
      <c r="AE36" s="20">
        <f>IF(COLUMN()-1&lt;=Setup!$C$5,AD36+1,"")</f>
        <v>46065</v>
      </c>
      <c r="AF36" s="20" t="str">
        <f>IF(COLUMN()-1&lt;=Setup!$C$5,AE36+1,"")</f>
        <v/>
      </c>
      <c r="AG36" s="3"/>
      <c r="AH36" s="3"/>
      <c r="AI36" s="3"/>
      <c r="AJ36" s="3"/>
      <c r="AK36" s="3"/>
      <c r="AL36" s="3"/>
    </row>
    <row r="37" spans="1:38" ht="24" customHeight="1">
      <c r="A37" s="21" t="s">
        <v>10</v>
      </c>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5"/>
      <c r="AE37" s="25"/>
      <c r="AF37" s="25"/>
      <c r="AG37" s="3"/>
      <c r="AH37" s="3"/>
      <c r="AI37" s="3"/>
      <c r="AJ37" s="3"/>
      <c r="AK37" s="3"/>
      <c r="AL37" s="3"/>
    </row>
    <row r="38" spans="1:38" ht="20" customHeight="1">
      <c r="A38" s="22" t="s">
        <v>12</v>
      </c>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3"/>
      <c r="AH38" s="3"/>
      <c r="AI38" s="3"/>
      <c r="AJ38" s="3"/>
      <c r="AK38" s="3"/>
      <c r="AL38" s="3"/>
    </row>
    <row r="39" spans="1:38" ht="6" customHeight="1">
      <c r="A39" s="17"/>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3"/>
      <c r="AH39" s="3"/>
      <c r="AI39" s="3"/>
      <c r="AJ39" s="3"/>
      <c r="AK39" s="3"/>
      <c r="AL39" s="3"/>
    </row>
    <row r="40" spans="1:38" ht="24" customHeight="1">
      <c r="A40" s="19" t="s">
        <v>15</v>
      </c>
      <c r="B40" s="23" t="str" cm="1">
        <f t="array" ref="B40">INDEX({"Jan","Feb","Mar","Apr","May","Jun","Jul","Aug","Sep","Oct","Nov","Dec"},MOD(MATCH(B35,{"Jan","Feb","Mar","Apr","May","Jun","Jul","Aug","Sep","Oct","Nov","Dec"},0),12)+1)</f>
        <v>Aug</v>
      </c>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3"/>
      <c r="AH40" s="3"/>
      <c r="AI40" s="3"/>
      <c r="AJ40" s="3"/>
      <c r="AK40" s="3"/>
      <c r="AL40" s="3"/>
    </row>
    <row r="41" spans="1:38" ht="20" customHeight="1">
      <c r="A41" s="70" t="s">
        <v>60</v>
      </c>
      <c r="B41" s="92">
        <f>B36+Setup!$C$5</f>
        <v>46066</v>
      </c>
      <c r="C41" s="20">
        <f>IF(COLUMN()-1&lt;=Setup!$C$5,B41+1,"")</f>
        <v>46067</v>
      </c>
      <c r="D41" s="20">
        <f>IF(COLUMN()-1&lt;=Setup!$C$5,C41+1,"")</f>
        <v>46068</v>
      </c>
      <c r="E41" s="20">
        <f>IF(COLUMN()-1&lt;=Setup!$C$5,D41+1,"")</f>
        <v>46069</v>
      </c>
      <c r="F41" s="20">
        <f>IF(COLUMN()-1&lt;=Setup!$C$5,E41+1,"")</f>
        <v>46070</v>
      </c>
      <c r="G41" s="20">
        <f>IF(COLUMN()-1&lt;=Setup!$C$5,F41+1,"")</f>
        <v>46071</v>
      </c>
      <c r="H41" s="20">
        <f>IF(COLUMN()-1&lt;=Setup!$C$5,G41+1,"")</f>
        <v>46072</v>
      </c>
      <c r="I41" s="20">
        <f>IF(COLUMN()-1&lt;=Setup!$C$5,H41+1,"")</f>
        <v>46073</v>
      </c>
      <c r="J41" s="20">
        <f>IF(COLUMN()-1&lt;=Setup!$C$5,I41+1,"")</f>
        <v>46074</v>
      </c>
      <c r="K41" s="20">
        <f>IF(COLUMN()-1&lt;=Setup!$C$5,J41+1,"")</f>
        <v>46075</v>
      </c>
      <c r="L41" s="20">
        <f>IF(COLUMN()-1&lt;=Setup!$C$5,K41+1,"")</f>
        <v>46076</v>
      </c>
      <c r="M41" s="20">
        <f>IF(COLUMN()-1&lt;=Setup!$C$5,L41+1,"")</f>
        <v>46077</v>
      </c>
      <c r="N41" s="20">
        <f>IF(COLUMN()-1&lt;=Setup!$C$5,M41+1,"")</f>
        <v>46078</v>
      </c>
      <c r="O41" s="20">
        <f>IF(COLUMN()-1&lt;=Setup!$C$5,N41+1,"")</f>
        <v>46079</v>
      </c>
      <c r="P41" s="20">
        <f>IF(COLUMN()-1&lt;=Setup!$C$5,O41+1,"")</f>
        <v>46080</v>
      </c>
      <c r="Q41" s="20">
        <f>IF(COLUMN()-1&lt;=Setup!$C$5,P41+1,"")</f>
        <v>46081</v>
      </c>
      <c r="R41" s="20">
        <f>IF(COLUMN()-1&lt;=Setup!$C$5,Q41+1,"")</f>
        <v>46082</v>
      </c>
      <c r="S41" s="20">
        <f>IF(COLUMN()-1&lt;=Setup!$C$5,R41+1,"")</f>
        <v>46083</v>
      </c>
      <c r="T41" s="20">
        <f>IF(COLUMN()-1&lt;=Setup!$C$5,S41+1,"")</f>
        <v>46084</v>
      </c>
      <c r="U41" s="20">
        <f>IF(COLUMN()-1&lt;=Setup!$C$5,T41+1,"")</f>
        <v>46085</v>
      </c>
      <c r="V41" s="20">
        <f>IF(COLUMN()-1&lt;=Setup!$C$5,U41+1,"")</f>
        <v>46086</v>
      </c>
      <c r="W41" s="20">
        <f>IF(COLUMN()-1&lt;=Setup!$C$5,V41+1,"")</f>
        <v>46087</v>
      </c>
      <c r="X41" s="20">
        <f>IF(COLUMN()-1&lt;=Setup!$C$5,W41+1,"")</f>
        <v>46088</v>
      </c>
      <c r="Y41" s="20">
        <f>IF(COLUMN()-1&lt;=Setup!$C$5,X41+1,"")</f>
        <v>46089</v>
      </c>
      <c r="Z41" s="20">
        <f>IF(COLUMN()-1&lt;=Setup!$C$5,Y41+1,"")</f>
        <v>46090</v>
      </c>
      <c r="AA41" s="20">
        <f>IF(COLUMN()-1&lt;=Setup!$C$5,Z41+1,"")</f>
        <v>46091</v>
      </c>
      <c r="AB41" s="20">
        <f>IF(COLUMN()-1&lt;=Setup!$C$5,AA41+1,"")</f>
        <v>46092</v>
      </c>
      <c r="AC41" s="20">
        <f>IF(COLUMN()-1&lt;=Setup!$C$5,AB41+1,"")</f>
        <v>46093</v>
      </c>
      <c r="AD41" s="20">
        <f>IF(COLUMN()-1&lt;=Setup!$C$5,AC41+1,"")</f>
        <v>46094</v>
      </c>
      <c r="AE41" s="20">
        <f>IF(COLUMN()-1&lt;=Setup!$C$5,AD41+1,"")</f>
        <v>46095</v>
      </c>
      <c r="AF41" s="20" t="str">
        <f>IF(COLUMN()-1&lt;=Setup!$C$5,AE41+1,"")</f>
        <v/>
      </c>
      <c r="AG41" s="3"/>
      <c r="AH41" s="3"/>
      <c r="AI41" s="3"/>
      <c r="AJ41" s="3"/>
      <c r="AK41" s="3"/>
      <c r="AL41" s="3"/>
    </row>
    <row r="42" spans="1:38" ht="24" customHeight="1">
      <c r="A42" s="21" t="s">
        <v>10</v>
      </c>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5"/>
      <c r="AE42" s="25"/>
      <c r="AF42" s="25"/>
      <c r="AG42" s="3"/>
      <c r="AH42" s="3"/>
      <c r="AI42" s="3"/>
      <c r="AJ42" s="3"/>
      <c r="AK42" s="3"/>
      <c r="AL42" s="3"/>
    </row>
    <row r="43" spans="1:38" ht="20" customHeight="1">
      <c r="A43" s="22" t="s">
        <v>12</v>
      </c>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3"/>
      <c r="AH43" s="3"/>
      <c r="AI43" s="3"/>
      <c r="AJ43" s="3"/>
      <c r="AK43" s="3"/>
      <c r="AL43" s="3"/>
    </row>
    <row r="44" spans="1:38" ht="6" customHeight="1">
      <c r="A44" s="17"/>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3"/>
      <c r="AH44" s="3"/>
      <c r="AI44" s="3"/>
      <c r="AJ44" s="3"/>
      <c r="AK44" s="3"/>
      <c r="AL44" s="3"/>
    </row>
    <row r="45" spans="1:38" ht="24" customHeight="1">
      <c r="A45" s="19" t="s">
        <v>15</v>
      </c>
      <c r="B45" s="23" t="str" cm="1">
        <f t="array" ref="B45">INDEX({"Jan","Feb","Mar","Apr","May","Jun","Jul","Aug","Sep","Oct","Nov","Dec"},MOD(MATCH(B40,{"Jan","Feb","Mar","Apr","May","Jun","Jul","Aug","Sep","Oct","Nov","Dec"},0),12)+1)</f>
        <v>Sep</v>
      </c>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3"/>
      <c r="AH45" s="3"/>
      <c r="AI45" s="3"/>
      <c r="AJ45" s="3"/>
      <c r="AK45" s="3"/>
      <c r="AL45" s="3"/>
    </row>
    <row r="46" spans="1:38" ht="20" customHeight="1">
      <c r="A46" s="70" t="s">
        <v>60</v>
      </c>
      <c r="B46" s="92">
        <f>B41+Setup!$C$5</f>
        <v>46096</v>
      </c>
      <c r="C46" s="20">
        <f>IF(COLUMN()-1&lt;=Setup!$C$5,B46+1,"")</f>
        <v>46097</v>
      </c>
      <c r="D46" s="20">
        <f>IF(COLUMN()-1&lt;=Setup!$C$5,C46+1,"")</f>
        <v>46098</v>
      </c>
      <c r="E46" s="20">
        <f>IF(COLUMN()-1&lt;=Setup!$C$5,D46+1,"")</f>
        <v>46099</v>
      </c>
      <c r="F46" s="20">
        <f>IF(COLUMN()-1&lt;=Setup!$C$5,E46+1,"")</f>
        <v>46100</v>
      </c>
      <c r="G46" s="20">
        <f>IF(COLUMN()-1&lt;=Setup!$C$5,F46+1,"")</f>
        <v>46101</v>
      </c>
      <c r="H46" s="20">
        <f>IF(COLUMN()-1&lt;=Setup!$C$5,G46+1,"")</f>
        <v>46102</v>
      </c>
      <c r="I46" s="20">
        <f>IF(COLUMN()-1&lt;=Setup!$C$5,H46+1,"")</f>
        <v>46103</v>
      </c>
      <c r="J46" s="20">
        <f>IF(COLUMN()-1&lt;=Setup!$C$5,I46+1,"")</f>
        <v>46104</v>
      </c>
      <c r="K46" s="20">
        <f>IF(COLUMN()-1&lt;=Setup!$C$5,J46+1,"")</f>
        <v>46105</v>
      </c>
      <c r="L46" s="20">
        <f>IF(COLUMN()-1&lt;=Setup!$C$5,K46+1,"")</f>
        <v>46106</v>
      </c>
      <c r="M46" s="20">
        <f>IF(COLUMN()-1&lt;=Setup!$C$5,L46+1,"")</f>
        <v>46107</v>
      </c>
      <c r="N46" s="20">
        <f>IF(COLUMN()-1&lt;=Setup!$C$5,M46+1,"")</f>
        <v>46108</v>
      </c>
      <c r="O46" s="20">
        <f>IF(COLUMN()-1&lt;=Setup!$C$5,N46+1,"")</f>
        <v>46109</v>
      </c>
      <c r="P46" s="20">
        <f>IF(COLUMN()-1&lt;=Setup!$C$5,O46+1,"")</f>
        <v>46110</v>
      </c>
      <c r="Q46" s="20">
        <f>IF(COLUMN()-1&lt;=Setup!$C$5,P46+1,"")</f>
        <v>46111</v>
      </c>
      <c r="R46" s="20">
        <f>IF(COLUMN()-1&lt;=Setup!$C$5,Q46+1,"")</f>
        <v>46112</v>
      </c>
      <c r="S46" s="20">
        <f>IF(COLUMN()-1&lt;=Setup!$C$5,R46+1,"")</f>
        <v>46113</v>
      </c>
      <c r="T46" s="20">
        <f>IF(COLUMN()-1&lt;=Setup!$C$5,S46+1,"")</f>
        <v>46114</v>
      </c>
      <c r="U46" s="20">
        <f>IF(COLUMN()-1&lt;=Setup!$C$5,T46+1,"")</f>
        <v>46115</v>
      </c>
      <c r="V46" s="20">
        <f>IF(COLUMN()-1&lt;=Setup!$C$5,U46+1,"")</f>
        <v>46116</v>
      </c>
      <c r="W46" s="20">
        <f>IF(COLUMN()-1&lt;=Setup!$C$5,V46+1,"")</f>
        <v>46117</v>
      </c>
      <c r="X46" s="20">
        <f>IF(COLUMN()-1&lt;=Setup!$C$5,W46+1,"")</f>
        <v>46118</v>
      </c>
      <c r="Y46" s="20">
        <f>IF(COLUMN()-1&lt;=Setup!$C$5,X46+1,"")</f>
        <v>46119</v>
      </c>
      <c r="Z46" s="20">
        <f>IF(COLUMN()-1&lt;=Setup!$C$5,Y46+1,"")</f>
        <v>46120</v>
      </c>
      <c r="AA46" s="20">
        <f>IF(COLUMN()-1&lt;=Setup!$C$5,Z46+1,"")</f>
        <v>46121</v>
      </c>
      <c r="AB46" s="20">
        <f>IF(COLUMN()-1&lt;=Setup!$C$5,AA46+1,"")</f>
        <v>46122</v>
      </c>
      <c r="AC46" s="20">
        <f>IF(COLUMN()-1&lt;=Setup!$C$5,AB46+1,"")</f>
        <v>46123</v>
      </c>
      <c r="AD46" s="20">
        <f>IF(COLUMN()-1&lt;=Setup!$C$5,AC46+1,"")</f>
        <v>46124</v>
      </c>
      <c r="AE46" s="20">
        <f>IF(COLUMN()-1&lt;=Setup!$C$5,AD46+1,"")</f>
        <v>46125</v>
      </c>
      <c r="AF46" s="20" t="str">
        <f>IF(COLUMN()-1&lt;=Setup!$C$5,AE46+1,"")</f>
        <v/>
      </c>
      <c r="AG46" s="3"/>
      <c r="AH46" s="3"/>
      <c r="AI46" s="3"/>
      <c r="AJ46" s="3"/>
      <c r="AK46" s="3"/>
      <c r="AL46" s="3"/>
    </row>
    <row r="47" spans="1:38" ht="24" customHeight="1">
      <c r="A47" s="21" t="s">
        <v>10</v>
      </c>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5"/>
      <c r="AE47" s="25"/>
      <c r="AF47" s="25"/>
      <c r="AG47" s="3"/>
      <c r="AH47" s="3"/>
      <c r="AI47" s="3"/>
      <c r="AJ47" s="3"/>
      <c r="AK47" s="3"/>
      <c r="AL47" s="3"/>
    </row>
    <row r="48" spans="1:38" ht="20" customHeight="1">
      <c r="A48" s="22" t="s">
        <v>12</v>
      </c>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3"/>
      <c r="AH48" s="3"/>
      <c r="AI48" s="3"/>
      <c r="AJ48" s="3"/>
      <c r="AK48" s="3"/>
      <c r="AL48" s="3"/>
    </row>
    <row r="49" spans="1:38" ht="6" customHeight="1">
      <c r="A49" s="17"/>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3"/>
      <c r="AH49" s="3"/>
      <c r="AI49" s="3"/>
      <c r="AJ49" s="3"/>
      <c r="AK49" s="3"/>
      <c r="AL49" s="3"/>
    </row>
    <row r="50" spans="1:38" ht="24" customHeight="1">
      <c r="A50" s="19" t="s">
        <v>15</v>
      </c>
      <c r="B50" s="23" t="str" cm="1">
        <f t="array" ref="B50">INDEX({"Jan","Feb","Mar","Apr","May","Jun","Jul","Aug","Sep","Oct","Nov","Dec"},MOD(MATCH(B45,{"Jan","Feb","Mar","Apr","May","Jun","Jul","Aug","Sep","Oct","Nov","Dec"},0),12)+1)</f>
        <v>Oct</v>
      </c>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3"/>
      <c r="AH50" s="3"/>
      <c r="AI50" s="3"/>
      <c r="AJ50" s="3"/>
      <c r="AK50" s="3"/>
      <c r="AL50" s="3"/>
    </row>
    <row r="51" spans="1:38" ht="20" customHeight="1">
      <c r="A51" s="70" t="s">
        <v>60</v>
      </c>
      <c r="B51" s="92">
        <f>B46+Setup!$C$5</f>
        <v>46126</v>
      </c>
      <c r="C51" s="20">
        <f>IF(COLUMN()-1&lt;=Setup!$C$5,B51+1,"")</f>
        <v>46127</v>
      </c>
      <c r="D51" s="20">
        <f>IF(COLUMN()-1&lt;=Setup!$C$5,C51+1,"")</f>
        <v>46128</v>
      </c>
      <c r="E51" s="20">
        <f>IF(COLUMN()-1&lt;=Setup!$C$5,D51+1,"")</f>
        <v>46129</v>
      </c>
      <c r="F51" s="20">
        <f>IF(COLUMN()-1&lt;=Setup!$C$5,E51+1,"")</f>
        <v>46130</v>
      </c>
      <c r="G51" s="20">
        <f>IF(COLUMN()-1&lt;=Setup!$C$5,F51+1,"")</f>
        <v>46131</v>
      </c>
      <c r="H51" s="20">
        <f>IF(COLUMN()-1&lt;=Setup!$C$5,G51+1,"")</f>
        <v>46132</v>
      </c>
      <c r="I51" s="20">
        <f>IF(COLUMN()-1&lt;=Setup!$C$5,H51+1,"")</f>
        <v>46133</v>
      </c>
      <c r="J51" s="20">
        <f>IF(COLUMN()-1&lt;=Setup!$C$5,I51+1,"")</f>
        <v>46134</v>
      </c>
      <c r="K51" s="20">
        <f>IF(COLUMN()-1&lt;=Setup!$C$5,J51+1,"")</f>
        <v>46135</v>
      </c>
      <c r="L51" s="20">
        <f>IF(COLUMN()-1&lt;=Setup!$C$5,K51+1,"")</f>
        <v>46136</v>
      </c>
      <c r="M51" s="20">
        <f>IF(COLUMN()-1&lt;=Setup!$C$5,L51+1,"")</f>
        <v>46137</v>
      </c>
      <c r="N51" s="20">
        <f>IF(COLUMN()-1&lt;=Setup!$C$5,M51+1,"")</f>
        <v>46138</v>
      </c>
      <c r="O51" s="20">
        <f>IF(COLUMN()-1&lt;=Setup!$C$5,N51+1,"")</f>
        <v>46139</v>
      </c>
      <c r="P51" s="20">
        <f>IF(COLUMN()-1&lt;=Setup!$C$5,O51+1,"")</f>
        <v>46140</v>
      </c>
      <c r="Q51" s="20">
        <f>IF(COLUMN()-1&lt;=Setup!$C$5,P51+1,"")</f>
        <v>46141</v>
      </c>
      <c r="R51" s="20">
        <f>IF(COLUMN()-1&lt;=Setup!$C$5,Q51+1,"")</f>
        <v>46142</v>
      </c>
      <c r="S51" s="20">
        <f>IF(COLUMN()-1&lt;=Setup!$C$5,R51+1,"")</f>
        <v>46143</v>
      </c>
      <c r="T51" s="20">
        <f>IF(COLUMN()-1&lt;=Setup!$C$5,S51+1,"")</f>
        <v>46144</v>
      </c>
      <c r="U51" s="20">
        <f>IF(COLUMN()-1&lt;=Setup!$C$5,T51+1,"")</f>
        <v>46145</v>
      </c>
      <c r="V51" s="20">
        <f>IF(COLUMN()-1&lt;=Setup!$C$5,U51+1,"")</f>
        <v>46146</v>
      </c>
      <c r="W51" s="20">
        <f>IF(COLUMN()-1&lt;=Setup!$C$5,V51+1,"")</f>
        <v>46147</v>
      </c>
      <c r="X51" s="20">
        <f>IF(COLUMN()-1&lt;=Setup!$C$5,W51+1,"")</f>
        <v>46148</v>
      </c>
      <c r="Y51" s="20">
        <f>IF(COLUMN()-1&lt;=Setup!$C$5,X51+1,"")</f>
        <v>46149</v>
      </c>
      <c r="Z51" s="20">
        <f>IF(COLUMN()-1&lt;=Setup!$C$5,Y51+1,"")</f>
        <v>46150</v>
      </c>
      <c r="AA51" s="20">
        <f>IF(COLUMN()-1&lt;=Setup!$C$5,Z51+1,"")</f>
        <v>46151</v>
      </c>
      <c r="AB51" s="20">
        <f>IF(COLUMN()-1&lt;=Setup!$C$5,AA51+1,"")</f>
        <v>46152</v>
      </c>
      <c r="AC51" s="20">
        <f>IF(COLUMN()-1&lt;=Setup!$C$5,AB51+1,"")</f>
        <v>46153</v>
      </c>
      <c r="AD51" s="20">
        <f>IF(COLUMN()-1&lt;=Setup!$C$5,AC51+1,"")</f>
        <v>46154</v>
      </c>
      <c r="AE51" s="20">
        <f>IF(COLUMN()-1&lt;=Setup!$C$5,AD51+1,"")</f>
        <v>46155</v>
      </c>
      <c r="AF51" s="20" t="str">
        <f>IF(COLUMN()-1&lt;=Setup!$C$5,AE51+1,"")</f>
        <v/>
      </c>
      <c r="AG51" s="3"/>
      <c r="AH51" s="3"/>
      <c r="AI51" s="3"/>
      <c r="AJ51" s="3"/>
      <c r="AK51" s="3"/>
      <c r="AL51" s="3"/>
    </row>
    <row r="52" spans="1:38" ht="24" customHeight="1">
      <c r="A52" s="21" t="s">
        <v>10</v>
      </c>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5"/>
      <c r="AE52" s="25"/>
      <c r="AF52" s="25"/>
      <c r="AG52" s="3"/>
      <c r="AH52" s="3"/>
      <c r="AI52" s="3"/>
      <c r="AJ52" s="3"/>
      <c r="AK52" s="3"/>
      <c r="AL52" s="3"/>
    </row>
    <row r="53" spans="1:38" ht="20" customHeight="1">
      <c r="A53" s="22" t="s">
        <v>12</v>
      </c>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3"/>
      <c r="AH53" s="3"/>
      <c r="AI53" s="3"/>
      <c r="AJ53" s="3"/>
      <c r="AK53" s="3"/>
      <c r="AL53" s="3"/>
    </row>
    <row r="54" spans="1:38" ht="6" customHeight="1">
      <c r="A54" s="17"/>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3"/>
      <c r="AH54" s="3"/>
      <c r="AI54" s="3"/>
      <c r="AJ54" s="3"/>
      <c r="AK54" s="3"/>
      <c r="AL54" s="3"/>
    </row>
    <row r="55" spans="1:38" ht="24" customHeight="1">
      <c r="A55" s="19" t="s">
        <v>15</v>
      </c>
      <c r="B55" s="23" t="str" cm="1">
        <f t="array" ref="B55">INDEX({"Jan","Feb","Mar","Apr","May","Jun","Jul","Aug","Sep","Oct","Nov","Dec"},MOD(MATCH(B50,{"Jan","Feb","Mar","Apr","May","Jun","Jul","Aug","Sep","Oct","Nov","Dec"},0),12)+1)</f>
        <v>Nov</v>
      </c>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3"/>
      <c r="AH55" s="3"/>
      <c r="AI55" s="3"/>
      <c r="AJ55" s="3"/>
      <c r="AK55" s="3"/>
      <c r="AL55" s="3"/>
    </row>
    <row r="56" spans="1:38" ht="20" customHeight="1">
      <c r="A56" s="70" t="s">
        <v>60</v>
      </c>
      <c r="B56" s="92">
        <f>B51+Setup!$C$5</f>
        <v>46156</v>
      </c>
      <c r="C56" s="20">
        <f>IF(COLUMN()-1&lt;=Setup!$C$5,B56+1,"")</f>
        <v>46157</v>
      </c>
      <c r="D56" s="20">
        <f>IF(COLUMN()-1&lt;=Setup!$C$5,C56+1,"")</f>
        <v>46158</v>
      </c>
      <c r="E56" s="20">
        <f>IF(COLUMN()-1&lt;=Setup!$C$5,D56+1,"")</f>
        <v>46159</v>
      </c>
      <c r="F56" s="20">
        <f>IF(COLUMN()-1&lt;=Setup!$C$5,E56+1,"")</f>
        <v>46160</v>
      </c>
      <c r="G56" s="20">
        <f>IF(COLUMN()-1&lt;=Setup!$C$5,F56+1,"")</f>
        <v>46161</v>
      </c>
      <c r="H56" s="20">
        <f>IF(COLUMN()-1&lt;=Setup!$C$5,G56+1,"")</f>
        <v>46162</v>
      </c>
      <c r="I56" s="20">
        <f>IF(COLUMN()-1&lt;=Setup!$C$5,H56+1,"")</f>
        <v>46163</v>
      </c>
      <c r="J56" s="20">
        <f>IF(COLUMN()-1&lt;=Setup!$C$5,I56+1,"")</f>
        <v>46164</v>
      </c>
      <c r="K56" s="20">
        <f>IF(COLUMN()-1&lt;=Setup!$C$5,J56+1,"")</f>
        <v>46165</v>
      </c>
      <c r="L56" s="20">
        <f>IF(COLUMN()-1&lt;=Setup!$C$5,K56+1,"")</f>
        <v>46166</v>
      </c>
      <c r="M56" s="20">
        <f>IF(COLUMN()-1&lt;=Setup!$C$5,L56+1,"")</f>
        <v>46167</v>
      </c>
      <c r="N56" s="20">
        <f>IF(COLUMN()-1&lt;=Setup!$C$5,M56+1,"")</f>
        <v>46168</v>
      </c>
      <c r="O56" s="20">
        <f>IF(COLUMN()-1&lt;=Setup!$C$5,N56+1,"")</f>
        <v>46169</v>
      </c>
      <c r="P56" s="20">
        <f>IF(COLUMN()-1&lt;=Setup!$C$5,O56+1,"")</f>
        <v>46170</v>
      </c>
      <c r="Q56" s="20">
        <f>IF(COLUMN()-1&lt;=Setup!$C$5,P56+1,"")</f>
        <v>46171</v>
      </c>
      <c r="R56" s="20">
        <f>IF(COLUMN()-1&lt;=Setup!$C$5,Q56+1,"")</f>
        <v>46172</v>
      </c>
      <c r="S56" s="20">
        <f>IF(COLUMN()-1&lt;=Setup!$C$5,R56+1,"")</f>
        <v>46173</v>
      </c>
      <c r="T56" s="20">
        <f>IF(COLUMN()-1&lt;=Setup!$C$5,S56+1,"")</f>
        <v>46174</v>
      </c>
      <c r="U56" s="20">
        <f>IF(COLUMN()-1&lt;=Setup!$C$5,T56+1,"")</f>
        <v>46175</v>
      </c>
      <c r="V56" s="20">
        <f>IF(COLUMN()-1&lt;=Setup!$C$5,U56+1,"")</f>
        <v>46176</v>
      </c>
      <c r="W56" s="20">
        <f>IF(COLUMN()-1&lt;=Setup!$C$5,V56+1,"")</f>
        <v>46177</v>
      </c>
      <c r="X56" s="20">
        <f>IF(COLUMN()-1&lt;=Setup!$C$5,W56+1,"")</f>
        <v>46178</v>
      </c>
      <c r="Y56" s="20">
        <f>IF(COLUMN()-1&lt;=Setup!$C$5,X56+1,"")</f>
        <v>46179</v>
      </c>
      <c r="Z56" s="20">
        <f>IF(COLUMN()-1&lt;=Setup!$C$5,Y56+1,"")</f>
        <v>46180</v>
      </c>
      <c r="AA56" s="20">
        <f>IF(COLUMN()-1&lt;=Setup!$C$5,Z56+1,"")</f>
        <v>46181</v>
      </c>
      <c r="AB56" s="20">
        <f>IF(COLUMN()-1&lt;=Setup!$C$5,AA56+1,"")</f>
        <v>46182</v>
      </c>
      <c r="AC56" s="20">
        <f>IF(COLUMN()-1&lt;=Setup!$C$5,AB56+1,"")</f>
        <v>46183</v>
      </c>
      <c r="AD56" s="20">
        <f>IF(COLUMN()-1&lt;=Setup!$C$5,AC56+1,"")</f>
        <v>46184</v>
      </c>
      <c r="AE56" s="20">
        <f>IF(COLUMN()-1&lt;=Setup!$C$5,AD56+1,"")</f>
        <v>46185</v>
      </c>
      <c r="AF56" s="20" t="str">
        <f>IF(COLUMN()-1&lt;=Setup!$C$5,AE56+1,"")</f>
        <v/>
      </c>
      <c r="AG56" s="3"/>
      <c r="AH56" s="3"/>
      <c r="AI56" s="3"/>
      <c r="AJ56" s="3"/>
      <c r="AK56" s="3"/>
      <c r="AL56" s="3"/>
    </row>
    <row r="57" spans="1:38" ht="24" customHeight="1">
      <c r="A57" s="21" t="s">
        <v>10</v>
      </c>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5"/>
      <c r="AE57" s="25"/>
      <c r="AF57" s="25"/>
      <c r="AG57" s="3"/>
      <c r="AH57" s="3"/>
      <c r="AI57" s="3"/>
      <c r="AJ57" s="3"/>
      <c r="AK57" s="3"/>
      <c r="AL57" s="3"/>
    </row>
    <row r="58" spans="1:38" ht="20" customHeight="1">
      <c r="A58" s="22" t="s">
        <v>12</v>
      </c>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3"/>
      <c r="AH58" s="3"/>
      <c r="AI58" s="3"/>
      <c r="AJ58" s="3"/>
      <c r="AK58" s="3"/>
      <c r="AL58" s="3"/>
    </row>
    <row r="59" spans="1:38" ht="6" customHeight="1">
      <c r="A59" s="17"/>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3"/>
      <c r="AH59" s="3"/>
      <c r="AI59" s="3"/>
      <c r="AJ59" s="3"/>
      <c r="AK59" s="3"/>
      <c r="AL59" s="3"/>
    </row>
    <row r="60" spans="1:38" ht="24" customHeight="1">
      <c r="A60" s="19" t="s">
        <v>15</v>
      </c>
      <c r="B60" s="23" t="str" cm="1">
        <f t="array" ref="B60">INDEX({"Jan","Feb","Mar","Apr","May","Jun","Jul","Aug","Sep","Oct","Nov","Dec"},MOD(MATCH(B55,{"Jan","Feb","Mar","Apr","May","Jun","Jul","Aug","Sep","Oct","Nov","Dec"},0),12)+1)</f>
        <v>Dec</v>
      </c>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3"/>
      <c r="AH60" s="3"/>
      <c r="AI60" s="3"/>
      <c r="AJ60" s="3"/>
      <c r="AK60" s="3"/>
      <c r="AL60" s="3"/>
    </row>
    <row r="61" spans="1:38" ht="20" customHeight="1">
      <c r="A61" s="70" t="s">
        <v>60</v>
      </c>
      <c r="B61" s="92">
        <f>B56+Setup!$C$5</f>
        <v>46186</v>
      </c>
      <c r="C61" s="20">
        <f>IF(COLUMN()-1&lt;=Setup!$C$5,B61+1,"")</f>
        <v>46187</v>
      </c>
      <c r="D61" s="20">
        <f>IF(COLUMN()-1&lt;=Setup!$C$5,C61+1,"")</f>
        <v>46188</v>
      </c>
      <c r="E61" s="20">
        <f>IF(COLUMN()-1&lt;=Setup!$C$5,D61+1,"")</f>
        <v>46189</v>
      </c>
      <c r="F61" s="20">
        <f>IF(COLUMN()-1&lt;=Setup!$C$5,E61+1,"")</f>
        <v>46190</v>
      </c>
      <c r="G61" s="20">
        <f>IF(COLUMN()-1&lt;=Setup!$C$5,F61+1,"")</f>
        <v>46191</v>
      </c>
      <c r="H61" s="20">
        <f>IF(COLUMN()-1&lt;=Setup!$C$5,G61+1,"")</f>
        <v>46192</v>
      </c>
      <c r="I61" s="20">
        <f>IF(COLUMN()-1&lt;=Setup!$C$5,H61+1,"")</f>
        <v>46193</v>
      </c>
      <c r="J61" s="20">
        <f>IF(COLUMN()-1&lt;=Setup!$C$5,I61+1,"")</f>
        <v>46194</v>
      </c>
      <c r="K61" s="20">
        <f>IF(COLUMN()-1&lt;=Setup!$C$5,J61+1,"")</f>
        <v>46195</v>
      </c>
      <c r="L61" s="20">
        <f>IF(COLUMN()-1&lt;=Setup!$C$5,K61+1,"")</f>
        <v>46196</v>
      </c>
      <c r="M61" s="20">
        <f>IF(COLUMN()-1&lt;=Setup!$C$5,L61+1,"")</f>
        <v>46197</v>
      </c>
      <c r="N61" s="20">
        <f>IF(COLUMN()-1&lt;=Setup!$C$5,M61+1,"")</f>
        <v>46198</v>
      </c>
      <c r="O61" s="20">
        <f>IF(COLUMN()-1&lt;=Setup!$C$5,N61+1,"")</f>
        <v>46199</v>
      </c>
      <c r="P61" s="20">
        <f>IF(COLUMN()-1&lt;=Setup!$C$5,O61+1,"")</f>
        <v>46200</v>
      </c>
      <c r="Q61" s="20">
        <f>IF(COLUMN()-1&lt;=Setup!$C$5,P61+1,"")</f>
        <v>46201</v>
      </c>
      <c r="R61" s="20">
        <f>IF(COLUMN()-1&lt;=Setup!$C$5,Q61+1,"")</f>
        <v>46202</v>
      </c>
      <c r="S61" s="20">
        <f>IF(COLUMN()-1&lt;=Setup!$C$5,R61+1,"")</f>
        <v>46203</v>
      </c>
      <c r="T61" s="20">
        <f>IF(COLUMN()-1&lt;=Setup!$C$5,S61+1,"")</f>
        <v>46204</v>
      </c>
      <c r="U61" s="20">
        <f>IF(COLUMN()-1&lt;=Setup!$C$5,T61+1,"")</f>
        <v>46205</v>
      </c>
      <c r="V61" s="20">
        <f>IF(COLUMN()-1&lt;=Setup!$C$5,U61+1,"")</f>
        <v>46206</v>
      </c>
      <c r="W61" s="20">
        <f>IF(COLUMN()-1&lt;=Setup!$C$5,V61+1,"")</f>
        <v>46207</v>
      </c>
      <c r="X61" s="20">
        <f>IF(COLUMN()-1&lt;=Setup!$C$5,W61+1,"")</f>
        <v>46208</v>
      </c>
      <c r="Y61" s="20">
        <f>IF(COLUMN()-1&lt;=Setup!$C$5,X61+1,"")</f>
        <v>46209</v>
      </c>
      <c r="Z61" s="20">
        <f>IF(COLUMN()-1&lt;=Setup!$C$5,Y61+1,"")</f>
        <v>46210</v>
      </c>
      <c r="AA61" s="20">
        <f>IF(COLUMN()-1&lt;=Setup!$C$5,Z61+1,"")</f>
        <v>46211</v>
      </c>
      <c r="AB61" s="20">
        <f>IF(COLUMN()-1&lt;=Setup!$C$5,AA61+1,"")</f>
        <v>46212</v>
      </c>
      <c r="AC61" s="20">
        <f>IF(COLUMN()-1&lt;=Setup!$C$5,AB61+1,"")</f>
        <v>46213</v>
      </c>
      <c r="AD61" s="20">
        <f>IF(COLUMN()-1&lt;=Setup!$C$5,AC61+1,"")</f>
        <v>46214</v>
      </c>
      <c r="AE61" s="20">
        <f>IF(COLUMN()-1&lt;=Setup!$C$5,AD61+1,"")</f>
        <v>46215</v>
      </c>
      <c r="AF61" s="20" t="str">
        <f>IF(COLUMN()-1&lt;=Setup!$C$5,AE61+1,"")</f>
        <v/>
      </c>
      <c r="AG61" s="3"/>
      <c r="AH61" s="3"/>
      <c r="AI61" s="3"/>
      <c r="AJ61" s="3"/>
      <c r="AK61" s="3"/>
      <c r="AL61" s="3"/>
    </row>
    <row r="62" spans="1:38" ht="24" customHeight="1">
      <c r="A62" s="21" t="s">
        <v>10</v>
      </c>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5"/>
      <c r="AE62" s="25"/>
      <c r="AF62" s="25"/>
      <c r="AG62" s="3"/>
      <c r="AH62" s="3"/>
      <c r="AI62" s="3"/>
      <c r="AJ62" s="3"/>
      <c r="AK62" s="3"/>
      <c r="AL62" s="3"/>
    </row>
    <row r="63" spans="1:38" ht="20" customHeight="1">
      <c r="A63" s="22" t="s">
        <v>12</v>
      </c>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3"/>
      <c r="AH63" s="3"/>
      <c r="AI63" s="3"/>
      <c r="AJ63" s="3"/>
      <c r="AK63" s="3"/>
      <c r="AL63" s="3"/>
    </row>
    <row r="64" spans="1:38" ht="6" customHeight="1">
      <c r="A64" s="17"/>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3"/>
      <c r="AH64" s="3"/>
      <c r="AI64" s="3"/>
      <c r="AJ64" s="3"/>
      <c r="AK64" s="3"/>
      <c r="AL64" s="3"/>
    </row>
    <row r="65" spans="1:38" ht="20"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20"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20"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20"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20"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20"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20"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row>
    <row r="72" spans="1:38" ht="20"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row>
    <row r="73" spans="1:38" ht="20"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row>
    <row r="74" spans="1:38" ht="20"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row>
    <row r="75" spans="1:38" ht="20"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row>
    <row r="76" spans="1:38" ht="20"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row>
    <row r="77" spans="1:38" ht="20"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row>
    <row r="78" spans="1:38" ht="20"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row>
    <row r="79" spans="1:38" ht="20"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row>
    <row r="80" spans="1:38" ht="20"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row>
  </sheetData>
  <conditionalFormatting sqref="B32:AF32">
    <cfRule type="cellIs" dxfId="59" priority="175" operator="equal">
      <formula>"Good"</formula>
    </cfRule>
    <cfRule type="cellIs" dxfId="58" priority="177" operator="equal">
      <formula>"Low"</formula>
    </cfRule>
    <cfRule type="cellIs" dxfId="57" priority="176" operator="equal">
      <formula>"Okay"</formula>
    </cfRule>
  </conditionalFormatting>
  <conditionalFormatting sqref="B37:AF37">
    <cfRule type="cellIs" dxfId="56" priority="180" operator="equal">
      <formula>"Low"</formula>
    </cfRule>
    <cfRule type="cellIs" dxfId="55" priority="179" operator="equal">
      <formula>"Okay"</formula>
    </cfRule>
    <cfRule type="cellIs" dxfId="54" priority="178" operator="equal">
      <formula>"Good"</formula>
    </cfRule>
  </conditionalFormatting>
  <conditionalFormatting sqref="B42:AF42">
    <cfRule type="cellIs" dxfId="53" priority="183" operator="equal">
      <formula>"Low"</formula>
    </cfRule>
    <cfRule type="cellIs" dxfId="52" priority="182" operator="equal">
      <formula>"Okay"</formula>
    </cfRule>
    <cfRule type="cellIs" dxfId="51" priority="181" operator="equal">
      <formula>"Good"</formula>
    </cfRule>
  </conditionalFormatting>
  <conditionalFormatting sqref="B47:AF47">
    <cfRule type="cellIs" dxfId="50" priority="186" operator="equal">
      <formula>"Low"</formula>
    </cfRule>
    <cfRule type="cellIs" dxfId="49" priority="185" operator="equal">
      <formula>"Okay"</formula>
    </cfRule>
    <cfRule type="cellIs" dxfId="48" priority="184" operator="equal">
      <formula>"Good"</formula>
    </cfRule>
  </conditionalFormatting>
  <conditionalFormatting sqref="B52:AF52">
    <cfRule type="cellIs" dxfId="47" priority="189" operator="equal">
      <formula>"Low"</formula>
    </cfRule>
    <cfRule type="cellIs" dxfId="46" priority="188" operator="equal">
      <formula>"Okay"</formula>
    </cfRule>
    <cfRule type="cellIs" dxfId="45" priority="187" operator="equal">
      <formula>"Good"</formula>
    </cfRule>
  </conditionalFormatting>
  <conditionalFormatting sqref="B57:AF57">
    <cfRule type="cellIs" dxfId="44" priority="192" operator="equal">
      <formula>"Low"</formula>
    </cfRule>
    <cfRule type="cellIs" dxfId="43" priority="191" operator="equal">
      <formula>"Okay"</formula>
    </cfRule>
    <cfRule type="cellIs" dxfId="42" priority="190" operator="equal">
      <formula>"Good"</formula>
    </cfRule>
  </conditionalFormatting>
  <conditionalFormatting sqref="B62:AF62">
    <cfRule type="cellIs" dxfId="41" priority="195" operator="equal">
      <formula>"Low"</formula>
    </cfRule>
    <cfRule type="cellIs" dxfId="40" priority="193" operator="equal">
      <formula>"Good"</formula>
    </cfRule>
    <cfRule type="cellIs" dxfId="39" priority="194" operator="equal">
      <formula>"Okay"</formula>
    </cfRule>
  </conditionalFormatting>
  <conditionalFormatting sqref="B3:AK3">
    <cfRule type="cellIs" dxfId="38" priority="159" operator="equal">
      <formula>"Late Luteal"</formula>
    </cfRule>
    <cfRule type="cellIs" dxfId="37" priority="158" operator="equal">
      <formula>"Mid Luteal"</formula>
    </cfRule>
    <cfRule type="cellIs" dxfId="36" priority="157" operator="equal">
      <formula>"Ovulation"</formula>
    </cfRule>
    <cfRule type="cellIs" dxfId="35" priority="156" operator="equal">
      <formula>"Follicular"</formula>
    </cfRule>
    <cfRule type="cellIs" dxfId="34" priority="155" operator="equal">
      <formula>"Period"</formula>
    </cfRule>
  </conditionalFormatting>
  <conditionalFormatting sqref="B7:AK7">
    <cfRule type="cellIs" dxfId="33" priority="162" operator="equal">
      <formula>"Low"</formula>
    </cfRule>
    <cfRule type="cellIs" dxfId="32" priority="161" operator="equal">
      <formula>"Okay"</formula>
    </cfRule>
    <cfRule type="cellIs" dxfId="31" priority="160" operator="equal">
      <formula>"Good"</formula>
    </cfRule>
  </conditionalFormatting>
  <conditionalFormatting sqref="B12:AK12">
    <cfRule type="cellIs" dxfId="30" priority="165" operator="equal">
      <formula>"Low"</formula>
    </cfRule>
    <cfRule type="cellIs" dxfId="29" priority="164" operator="equal">
      <formula>"Okay"</formula>
    </cfRule>
    <cfRule type="cellIs" dxfId="28" priority="163" operator="equal">
      <formula>"Good"</formula>
    </cfRule>
  </conditionalFormatting>
  <conditionalFormatting sqref="B17:AK17">
    <cfRule type="cellIs" dxfId="27" priority="168" operator="equal">
      <formula>"Low"</formula>
    </cfRule>
    <cfRule type="cellIs" dxfId="26" priority="167" operator="equal">
      <formula>"Okay"</formula>
    </cfRule>
    <cfRule type="cellIs" dxfId="25" priority="166" operator="equal">
      <formula>"Good"</formula>
    </cfRule>
  </conditionalFormatting>
  <conditionalFormatting sqref="B22:AK22">
    <cfRule type="cellIs" dxfId="24" priority="171" operator="equal">
      <formula>"Low"</formula>
    </cfRule>
    <cfRule type="cellIs" dxfId="23" priority="170" operator="equal">
      <formula>"Okay"</formula>
    </cfRule>
    <cfRule type="cellIs" dxfId="22" priority="169" operator="equal">
      <formula>"Good"</formula>
    </cfRule>
  </conditionalFormatting>
  <conditionalFormatting sqref="B27:AK27">
    <cfRule type="cellIs" dxfId="21" priority="174" operator="equal">
      <formula>"Low"</formula>
    </cfRule>
    <cfRule type="cellIs" dxfId="20" priority="173" operator="equal">
      <formula>"Okay"</formula>
    </cfRule>
    <cfRule type="cellIs" dxfId="19" priority="172" operator="equal">
      <formula>"Good"</formula>
    </cfRule>
  </conditionalFormatting>
  <dataValidations count="2">
    <dataValidation type="list" allowBlank="1" showInputMessage="1" sqref="B5 B60 B55 B50 B45 B40 B35 B30 B25 B20 B15 B10" xr:uid="{4B886EC3-6EEA-DE4E-9F5A-A65CF6D2FA4C}">
      <formula1>"Jan,Feb,Mar,Apr,May,Jun,Jul,Aug,Sep,Oct,Nov,Dec"</formula1>
    </dataValidation>
    <dataValidation type="list" allowBlank="1" showInputMessage="1" sqref="B7:AF7 B62:AF62 B57:AF57 B52:AF52 B47:AF47 B42:AF42 B37:AF37 B32:AF32 B27:AF27 B22:AF22 B17:AF17 B12:AF12" xr:uid="{D3ACE086-0009-EF44-8BC9-CB486607FC87}">
      <formula1>"Good,Okay,Low"</formula1>
    </dataValidation>
  </dataValidations>
  <pageMargins left="0.5" right="0.5" top="0.75" bottom="0.75" header="0.27777800000000002" footer="0.27777800000000002"/>
  <pageSetup scale="72"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B876D-5E4B-4945-A159-E48B94F9F620}">
  <sheetPr>
    <tabColor rgb="FF99B0ED"/>
  </sheetPr>
  <dimension ref="A1:AK80"/>
  <sheetViews>
    <sheetView showGridLines="0" topLeftCell="E1" workbookViewId="0">
      <selection activeCell="P15" sqref="P15"/>
    </sheetView>
  </sheetViews>
  <sheetFormatPr baseColWidth="10" defaultRowHeight="13"/>
  <cols>
    <col min="1" max="1" width="30" customWidth="1"/>
    <col min="14" max="14" width="2.5" customWidth="1"/>
    <col min="15" max="15" width="26.6640625" customWidth="1"/>
    <col min="16" max="16" width="36.6640625" customWidth="1"/>
  </cols>
  <sheetData>
    <row r="1" spans="1:37" s="117" customFormat="1" ht="68" customHeight="1">
      <c r="A1" s="159" t="s">
        <v>96</v>
      </c>
      <c r="B1" s="159"/>
      <c r="C1" s="159"/>
      <c r="D1" s="159"/>
      <c r="E1" s="159"/>
      <c r="F1" s="159"/>
      <c r="G1" s="159"/>
      <c r="H1" s="159"/>
      <c r="I1" s="159"/>
      <c r="J1" s="159"/>
      <c r="K1" s="159"/>
      <c r="L1" s="159"/>
      <c r="M1" s="159"/>
      <c r="N1" s="136"/>
      <c r="O1" s="136"/>
      <c r="P1" s="136"/>
      <c r="Q1" s="136"/>
      <c r="R1" s="136"/>
      <c r="S1" s="136"/>
      <c r="T1" s="136"/>
      <c r="U1" s="136"/>
      <c r="V1" s="136"/>
      <c r="W1" s="136"/>
      <c r="X1" s="136"/>
      <c r="Y1" s="136"/>
      <c r="Z1" s="136"/>
      <c r="AA1" s="136"/>
      <c r="AB1" s="136"/>
      <c r="AC1" s="136"/>
      <c r="AD1" s="136"/>
      <c r="AE1" s="136"/>
      <c r="AF1" s="136"/>
      <c r="AG1" s="136"/>
      <c r="AH1" s="136"/>
      <c r="AI1" s="136"/>
      <c r="AJ1" s="136"/>
      <c r="AK1" s="136"/>
    </row>
    <row r="2" spans="1:37" ht="10" customHeight="1">
      <c r="A2" s="3"/>
      <c r="B2" s="3"/>
      <c r="C2" s="3"/>
      <c r="D2" s="3"/>
      <c r="E2" s="3"/>
      <c r="F2" s="3"/>
      <c r="G2" s="3"/>
      <c r="H2" s="3"/>
      <c r="I2" s="3"/>
      <c r="J2" s="3"/>
      <c r="K2" s="3"/>
      <c r="L2" s="3"/>
      <c r="M2" s="3"/>
      <c r="N2" s="3"/>
      <c r="O2" s="71"/>
      <c r="P2" s="71"/>
      <c r="Q2" s="71"/>
      <c r="R2" s="71"/>
      <c r="S2" s="71"/>
      <c r="T2" s="71"/>
      <c r="U2" s="52"/>
      <c r="V2" s="52"/>
      <c r="W2" s="52"/>
      <c r="X2" s="52"/>
      <c r="Y2" s="52"/>
      <c r="Z2" s="52"/>
      <c r="AA2" s="52"/>
      <c r="AB2" s="52"/>
      <c r="AC2" s="52"/>
      <c r="AD2" s="52"/>
      <c r="AE2" s="52"/>
      <c r="AF2" s="52"/>
      <c r="AG2" s="52"/>
      <c r="AH2" s="52"/>
      <c r="AI2" s="52"/>
      <c r="AJ2" s="52"/>
      <c r="AK2" s="52"/>
    </row>
    <row r="3" spans="1:37" ht="26" customHeight="1">
      <c r="A3" s="143" t="s">
        <v>16</v>
      </c>
      <c r="B3" s="137"/>
      <c r="C3" s="137"/>
      <c r="D3" s="137"/>
      <c r="E3" s="137"/>
      <c r="F3" s="137"/>
      <c r="G3" s="137"/>
      <c r="H3" s="137"/>
      <c r="I3" s="137"/>
      <c r="J3" s="137"/>
      <c r="K3" s="137"/>
      <c r="L3" s="137"/>
      <c r="M3" s="138"/>
      <c r="N3" s="3"/>
      <c r="O3" s="141" t="s">
        <v>23</v>
      </c>
      <c r="P3" s="142"/>
      <c r="Q3" s="71"/>
      <c r="R3" s="71"/>
      <c r="S3" s="71"/>
      <c r="T3" s="71"/>
      <c r="U3" s="52"/>
      <c r="V3" s="52"/>
      <c r="W3" s="52"/>
      <c r="X3" s="52"/>
      <c r="Y3" s="52"/>
      <c r="Z3" s="52"/>
      <c r="AA3" s="52"/>
      <c r="AB3" s="52"/>
      <c r="AC3" s="52"/>
      <c r="AD3" s="52"/>
      <c r="AE3" s="52"/>
      <c r="AF3" s="52"/>
      <c r="AG3" s="52"/>
      <c r="AH3" s="52"/>
      <c r="AI3" s="52"/>
      <c r="AJ3" s="52"/>
      <c r="AK3" s="52"/>
    </row>
    <row r="4" spans="1:37" ht="22" customHeight="1">
      <c r="A4" s="27" t="s">
        <v>9</v>
      </c>
      <c r="B4" s="28" t="str">
        <f>Tracker!B5</f>
        <v>Jan</v>
      </c>
      <c r="C4" s="28" t="str">
        <f>Tracker!B10</f>
        <v>Feb</v>
      </c>
      <c r="D4" s="28" t="str">
        <f>Tracker!B15</f>
        <v>Mar</v>
      </c>
      <c r="E4" s="28" t="str">
        <f>Tracker!B20</f>
        <v>Apr</v>
      </c>
      <c r="F4" s="28" t="str">
        <f>Tracker!B25</f>
        <v>May</v>
      </c>
      <c r="G4" s="28" t="str">
        <f>Tracker!B30</f>
        <v>Jun</v>
      </c>
      <c r="H4" s="28" t="str">
        <f>Tracker!B35</f>
        <v>Jul</v>
      </c>
      <c r="I4" s="28" t="str">
        <f>Tracker!B40</f>
        <v>Aug</v>
      </c>
      <c r="J4" s="28" t="str">
        <f>Tracker!B45</f>
        <v>Sep</v>
      </c>
      <c r="K4" s="28" t="str">
        <f>Tracker!B50</f>
        <v>Oct</v>
      </c>
      <c r="L4" s="28" t="str">
        <f>Tracker!B55</f>
        <v>Nov</v>
      </c>
      <c r="M4" s="29" t="str">
        <f>Tracker!B60</f>
        <v>Dec</v>
      </c>
      <c r="N4" s="3"/>
      <c r="O4" s="72" t="s">
        <v>24</v>
      </c>
      <c r="P4" s="73">
        <f>SUM(B5:M5)</f>
        <v>19</v>
      </c>
      <c r="Q4" s="71"/>
      <c r="R4" s="71"/>
      <c r="S4" s="71"/>
      <c r="T4" s="71"/>
      <c r="U4" s="52"/>
      <c r="V4" s="52"/>
      <c r="W4" s="52"/>
      <c r="X4" s="52"/>
      <c r="Y4" s="52"/>
      <c r="Z4" s="52"/>
      <c r="AA4" s="52"/>
      <c r="AB4" s="52"/>
      <c r="AC4" s="52"/>
      <c r="AD4" s="52"/>
      <c r="AE4" s="52"/>
      <c r="AF4" s="52"/>
      <c r="AG4" s="52"/>
      <c r="AH4" s="52"/>
      <c r="AI4" s="52"/>
      <c r="AJ4" s="52"/>
      <c r="AK4" s="52"/>
    </row>
    <row r="5" spans="1:37">
      <c r="A5" s="30" t="s">
        <v>17</v>
      </c>
      <c r="B5" s="31">
        <f>COUNTA(Tracker!B7:AJ7)</f>
        <v>9</v>
      </c>
      <c r="C5" s="31">
        <f>COUNTA(Tracker!B12:AJ12)</f>
        <v>2</v>
      </c>
      <c r="D5" s="31">
        <f>COUNTA(Tracker!B17:AJ17)</f>
        <v>2</v>
      </c>
      <c r="E5" s="31">
        <f>COUNTA(Tracker!B22:AJ22)</f>
        <v>5</v>
      </c>
      <c r="F5" s="31">
        <f>COUNTA(Tracker!B27:AJ27)</f>
        <v>0</v>
      </c>
      <c r="G5" s="31">
        <f>COUNTA(Tracker!B32:AJ32)</f>
        <v>1</v>
      </c>
      <c r="H5" s="31">
        <f>COUNTA(Tracker!B37:AJ37)</f>
        <v>0</v>
      </c>
      <c r="I5" s="31">
        <f>COUNTA(Tracker!B42:AJ42)</f>
        <v>0</v>
      </c>
      <c r="J5" s="31">
        <f>COUNTA(Tracker!B47:AJ47)</f>
        <v>0</v>
      </c>
      <c r="K5" s="31">
        <f>COUNTA(Tracker!B52:AJ52)</f>
        <v>0</v>
      </c>
      <c r="L5" s="31">
        <f>COUNTA(Tracker!B57:AJ57)</f>
        <v>0</v>
      </c>
      <c r="M5" s="32">
        <f>COUNTA(Tracker!B62:AJ62)</f>
        <v>0</v>
      </c>
      <c r="N5" s="3"/>
      <c r="O5" s="74" t="s">
        <v>25</v>
      </c>
      <c r="P5" s="75">
        <f>SUM(B8:M8)</f>
        <v>13</v>
      </c>
      <c r="Q5" s="71"/>
      <c r="R5" s="71"/>
      <c r="S5" s="71"/>
      <c r="T5" s="71"/>
      <c r="U5" s="52"/>
      <c r="V5" s="52"/>
      <c r="W5" s="52"/>
      <c r="X5" s="52"/>
      <c r="Y5" s="52"/>
      <c r="Z5" s="52"/>
      <c r="AA5" s="52"/>
      <c r="AB5" s="52"/>
      <c r="AC5" s="52"/>
      <c r="AD5" s="52"/>
      <c r="AE5" s="52"/>
      <c r="AF5" s="52"/>
      <c r="AG5" s="52"/>
      <c r="AH5" s="52"/>
      <c r="AI5" s="52"/>
      <c r="AJ5" s="52"/>
      <c r="AK5" s="52"/>
    </row>
    <row r="6" spans="1:37">
      <c r="A6" s="33" t="s">
        <v>18</v>
      </c>
      <c r="B6" s="31">
        <f>COUNTIF(Tracker!B7:AJ7,"Good")</f>
        <v>1</v>
      </c>
      <c r="C6" s="31">
        <f>COUNTIF(Tracker!B12:AJ12,"Good")</f>
        <v>0</v>
      </c>
      <c r="D6" s="31">
        <f>COUNTIF(Tracker!B17:AJ17,"Good")</f>
        <v>0</v>
      </c>
      <c r="E6" s="31">
        <f>COUNTIF(Tracker!B22:AJ22,"Good")</f>
        <v>0</v>
      </c>
      <c r="F6" s="31">
        <f>COUNTIF(Tracker!B27:AJ27,"Good")</f>
        <v>0</v>
      </c>
      <c r="G6" s="31">
        <f>COUNTIF(Tracker!B32:AJ32,"Good")</f>
        <v>1</v>
      </c>
      <c r="H6" s="31">
        <f>COUNTIF(Tracker!B37:AJ37,"Good")</f>
        <v>0</v>
      </c>
      <c r="I6" s="31">
        <f>COUNTIF(Tracker!B42:AJ42,"Good")</f>
        <v>0</v>
      </c>
      <c r="J6" s="31">
        <f>COUNTIF(Tracker!B47:AJ47,"Good")</f>
        <v>0</v>
      </c>
      <c r="K6" s="31">
        <f>COUNTIF(Tracker!B52:AJ52,"Good")</f>
        <v>0</v>
      </c>
      <c r="L6" s="31">
        <f>COUNTIF(Tracker!B57:AJ57,"Good")</f>
        <v>0</v>
      </c>
      <c r="M6" s="32">
        <f>COUNTIF(Tracker!B62:AJ62,"Good")</f>
        <v>0</v>
      </c>
      <c r="N6" s="3"/>
      <c r="O6" s="76" t="s">
        <v>26</v>
      </c>
      <c r="P6" s="77">
        <f>IFERROR(P5/P7,"-")</f>
        <v>2.6</v>
      </c>
      <c r="Q6" s="71"/>
      <c r="R6" s="71"/>
      <c r="S6" s="71"/>
      <c r="T6" s="71"/>
      <c r="U6" s="52"/>
      <c r="V6" s="52"/>
      <c r="W6" s="52"/>
      <c r="X6" s="52"/>
      <c r="Y6" s="52"/>
      <c r="Z6" s="52"/>
      <c r="AA6" s="52"/>
      <c r="AB6" s="52"/>
      <c r="AC6" s="52"/>
      <c r="AD6" s="52"/>
      <c r="AE6" s="52"/>
      <c r="AF6" s="52"/>
      <c r="AG6" s="52"/>
      <c r="AH6" s="52"/>
      <c r="AI6" s="52"/>
      <c r="AJ6" s="52"/>
      <c r="AK6" s="52"/>
    </row>
    <row r="7" spans="1:37">
      <c r="A7" s="34" t="s">
        <v>19</v>
      </c>
      <c r="B7" s="31">
        <f>COUNTIF(Tracker!B7:AJ7,"Okay")</f>
        <v>4</v>
      </c>
      <c r="C7" s="31">
        <f>COUNTIF(Tracker!B12:AJ12,"Okay")</f>
        <v>0</v>
      </c>
      <c r="D7" s="31">
        <f>COUNTIF(Tracker!B17:AJ17,"Okay")</f>
        <v>0</v>
      </c>
      <c r="E7" s="31">
        <f>COUNTIF(Tracker!B22:AJ22,"Okay")</f>
        <v>0</v>
      </c>
      <c r="F7" s="31">
        <f>COUNTIF(Tracker!B27:AJ27,"Okay")</f>
        <v>0</v>
      </c>
      <c r="G7" s="31">
        <f>COUNTIF(Tracker!B32:AJ32,"Okay")</f>
        <v>0</v>
      </c>
      <c r="H7" s="31">
        <f>COUNTIF(Tracker!B37:AJ37,"Okay")</f>
        <v>0</v>
      </c>
      <c r="I7" s="31">
        <f>COUNTIF(Tracker!B42:AJ42,"Okay")</f>
        <v>0</v>
      </c>
      <c r="J7" s="31">
        <f>COUNTIF(Tracker!B47:AJ47,"Okay")</f>
        <v>0</v>
      </c>
      <c r="K7" s="31">
        <f>COUNTIF(Tracker!B52:AJ52,"Okay")</f>
        <v>0</v>
      </c>
      <c r="L7" s="31">
        <f>COUNTIF(Tracker!B57:AJ57,"Okay")</f>
        <v>0</v>
      </c>
      <c r="M7" s="32">
        <f>COUNTIF(Tracker!B62:AJ62,"Okay")</f>
        <v>0</v>
      </c>
      <c r="N7" s="3"/>
      <c r="O7" s="78" t="s">
        <v>27</v>
      </c>
      <c r="P7" s="79">
        <f>COUNTIF(B5:M5,"&gt;0")</f>
        <v>5</v>
      </c>
      <c r="Q7" s="71"/>
      <c r="R7" s="71"/>
      <c r="S7" s="71"/>
      <c r="T7" s="71"/>
      <c r="U7" s="52"/>
      <c r="V7" s="52"/>
      <c r="W7" s="52"/>
      <c r="X7" s="52"/>
      <c r="Y7" s="52"/>
      <c r="Z7" s="52"/>
      <c r="AA7" s="52"/>
      <c r="AB7" s="52"/>
      <c r="AC7" s="52"/>
      <c r="AD7" s="52"/>
      <c r="AE7" s="52"/>
      <c r="AF7" s="52"/>
      <c r="AG7" s="52"/>
      <c r="AH7" s="52"/>
      <c r="AI7" s="52"/>
      <c r="AJ7" s="52"/>
      <c r="AK7" s="52"/>
    </row>
    <row r="8" spans="1:37">
      <c r="A8" s="35" t="s">
        <v>20</v>
      </c>
      <c r="B8" s="36">
        <f>COUNTIF(Tracker!B7:AJ7,"Low")</f>
        <v>4</v>
      </c>
      <c r="C8" s="36">
        <f>COUNTIF(Tracker!B12:AJ12,"Low")</f>
        <v>2</v>
      </c>
      <c r="D8" s="36">
        <f>COUNTIF(Tracker!B17:AJ17,"Low")</f>
        <v>2</v>
      </c>
      <c r="E8" s="36">
        <f>COUNTIF(Tracker!B22:AJ22,"Low")</f>
        <v>5</v>
      </c>
      <c r="F8" s="36">
        <f>COUNTIF(Tracker!B27:AJ27,"Low")</f>
        <v>0</v>
      </c>
      <c r="G8" s="36">
        <f>COUNTIF(Tracker!B32:AJ32,"Low")</f>
        <v>0</v>
      </c>
      <c r="H8" s="36">
        <f>COUNTIF(Tracker!B37:AJ37,"Low")</f>
        <v>0</v>
      </c>
      <c r="I8" s="36">
        <f>COUNTIF(Tracker!B42:AJ42,"Low")</f>
        <v>0</v>
      </c>
      <c r="J8" s="36">
        <f>COUNTIF(Tracker!B47:AJ47,"Low")</f>
        <v>0</v>
      </c>
      <c r="K8" s="36">
        <f>COUNTIF(Tracker!B52:AJ52,"Low")</f>
        <v>0</v>
      </c>
      <c r="L8" s="36">
        <f>COUNTIF(Tracker!B57:AJ57,"Low")</f>
        <v>0</v>
      </c>
      <c r="M8" s="37">
        <f>COUNTIF(Tracker!B62:AJ62,"Low")</f>
        <v>0</v>
      </c>
      <c r="N8" s="3"/>
      <c r="O8" s="80" t="s">
        <v>28</v>
      </c>
      <c r="P8" s="81" t="str" cm="1">
        <f t="array" ref="P8">IFERROR(IF(SUMPRODUCT((Tracker!B3:AJ3="Late Luteal")*(Tracker!B7:AJ7="Low"))+SUMPRODUCT((Tracker!B3:AJ3="Late Luteal")*(Tracker!B12:AJ12="Low"))+SUMPRODUCT((Tracker!B3:AJ3="Late Luteal")*(Tracker!B17:AJ17="Low"))+SUMPRODUCT((Tracker!B3:AJ3="Late Luteal")*(Tracker!B22:AJ22="Low"))+SUMPRODUCT((Tracker!B3:AJ3="Late Luteal")*(Tracker!B27:AJ27="Low"))+SUMPRODUCT((Tracker!B3:AJ3="Late Luteal")*(Tracker!B32:AJ32="Low"))+SUMPRODUCT((Tracker!B3:AJ3="Late Luteal")*(Tracker!B37:AJ37="Low"))+SUMPRODUCT((Tracker!B3:AJ3="Late Luteal")*(Tracker!B42:AJ42="Low"))+SUMPRODUCT((Tracker!B3:AJ3="Late Luteal")*(Tracker!B47:AJ47="Low"))+SUMPRODUCT((Tracker!B3:AJ3="Late Luteal")*(Tracker!B52:AJ52="Low"))+SUMPRODUCT((Tracker!B3:AJ3="Late Luteal")*(Tracker!B57:AJ57="Low"))+SUMPRODUCT((Tracker!B3:AJ3="Late Luteal")*(Tracker!B62:AJ62="Low"))&gt;=SUMPRODUCT((Tracker!B3:AJ3="Follicular")*(Tracker!B7:AJ7="Low"))+SUMPRODUCT((Tracker!B3:AJ3="Follicular")*(Tracker!B12:AJ12="Low"))+SUMPRODUCT((Tracker!B3:AJ3="Follicular")*(Tracker!B17:AJ17="Low"))+SUMPRODUCT((Tracker!B3:AJ3="Follicular")*(Tracker!B22:AJ22="Low"))+SUMPRODUCT((Tracker!B3:AJ3="Follicular")*(Tracker!B27:AJ27="Low"))+SUMPRODUCT((Tracker!B3:AJ3="Follicular")*(Tracker!B32:AJ32="Low"))+SUMPRODUCT((Tracker!B3:AJ3="Follicular")*(Tracker!B37:AJ37="Low"))+SUMPRODUCT((Tracker!B3:AJ3="Follicular")*(Tracker!B42:AJ42="Low"))+SUMPRODUCT((Tracker!B3:AJ3="Follicular")*(Tracker!B47:AJ47="Low"))+SUMPRODUCT((Tracker!B3:AJ3="Follicular")*(Tracker!B52:AJ52="Low"))+SUMPRODUCT((Tracker!B3:AJ3="Follicular")*(Tracker!B57:AJ57="Low"))+SUMPRODUCT((Tracker!B3:AJ3="Follicular")*(Tracker!B62:AJ62="Low")),"Late Luteal","Follicular"),"-")</f>
        <v>Late Luteal</v>
      </c>
      <c r="Q8" s="71"/>
      <c r="R8" s="71"/>
      <c r="S8" s="71"/>
      <c r="T8" s="71"/>
      <c r="U8" s="52"/>
      <c r="V8" s="52"/>
      <c r="W8" s="52"/>
      <c r="X8" s="52"/>
      <c r="Y8" s="52"/>
      <c r="Z8" s="52"/>
      <c r="AA8" s="52"/>
      <c r="AB8" s="52"/>
      <c r="AC8" s="52"/>
      <c r="AD8" s="52"/>
      <c r="AE8" s="52"/>
      <c r="AF8" s="52"/>
      <c r="AG8" s="52"/>
      <c r="AH8" s="52"/>
      <c r="AI8" s="52"/>
      <c r="AJ8" s="52"/>
      <c r="AK8" s="52"/>
    </row>
    <row r="9" spans="1:37" ht="15" customHeight="1">
      <c r="A9" s="38" t="s">
        <v>21</v>
      </c>
      <c r="B9" s="39">
        <f>IFERROR(COUNTIFS(Tracker!B7:AJ7,"Low",Tracker!B3:AJ3,"Late Luteal")/COUNTIF(Tracker!B3:AJ3,"Late Luteal"),"-")</f>
        <v>0</v>
      </c>
      <c r="C9" s="39">
        <f>IFERROR(COUNTIFS(Tracker!B12:AJ12,"Low",Tracker!B3:AJ3,"Late Luteal")/COUNTIF(Tracker!B3:AJ3,"Late Luteal"),"-")</f>
        <v>0.2</v>
      </c>
      <c r="D9" s="39">
        <f>IFERROR(COUNTIFS(Tracker!B17:AJ17,"Low",Tracker!B3:AJ3,"Late Luteal")/COUNTIF(Tracker!B3:AJ3,"Late Luteal"),"-")</f>
        <v>0.2</v>
      </c>
      <c r="E9" s="39">
        <f>IFERROR(COUNTIFS(Tracker!B22:AJ22,"Low",Tracker!B3:AJ3,"Late Luteal")/COUNTIF(Tracker!B3:AJ3,"Late Luteal"),"-")</f>
        <v>0.2</v>
      </c>
      <c r="F9" s="39">
        <f>IFERROR(COUNTIFS(Tracker!B27:AJ27,"Low",Tracker!B3:AJ3,"Late Luteal")/COUNTIF(Tracker!B3:AJ3,"Late Luteal"),"-")</f>
        <v>0</v>
      </c>
      <c r="G9" s="39">
        <f>IFERROR(COUNTIFS(Tracker!B32:AJ32,"Low",Tracker!B3:AJ3,"Late Luteal")/COUNTIF(Tracker!B3:AJ3,"Late Luteal"),"-")</f>
        <v>0</v>
      </c>
      <c r="H9" s="39">
        <f>IFERROR(COUNTIFS(Tracker!B37:AJ37,"Low",Tracker!B3:AJ3,"Late Luteal")/COUNTIF(Tracker!B3:AJ3,"Late Luteal"),"-")</f>
        <v>0</v>
      </c>
      <c r="I9" s="39">
        <f>IFERROR(COUNTIFS(Tracker!B42:AJ42,"Low",Tracker!B3:AJ3,"Late Luteal")/COUNTIF(Tracker!B3:AJ3,"Late Luteal"),"-")</f>
        <v>0</v>
      </c>
      <c r="J9" s="39">
        <f>IFERROR(COUNTIFS(Tracker!B47:AJ47,"Low",Tracker!B3:AJ3,"Late Luteal")/COUNTIF(Tracker!B3:AJ3,"Late Luteal"),"-")</f>
        <v>0</v>
      </c>
      <c r="K9" s="39">
        <f>IFERROR(COUNTIFS(Tracker!B52:AJ52,"Low",Tracker!B3:AJ3,"Late Luteal")/COUNTIF(Tracker!B3:AJ3,"Late Luteal"),"-")</f>
        <v>0</v>
      </c>
      <c r="L9" s="39">
        <f>IFERROR(COUNTIFS(Tracker!B57:AJ57,"Low",Tracker!B3:AJ3,"Late Luteal")/COUNTIF(Tracker!B3:AJ3,"Late Luteal"),"-")</f>
        <v>0</v>
      </c>
      <c r="M9" s="40">
        <f>IFERROR(COUNTIFS(Tracker!B62:AJ62,"Low",Tracker!B3:AJ3,"Late Luteal")/COUNTIF(Tracker!B3:AJ3,"Late Luteal"),"-")</f>
        <v>0</v>
      </c>
      <c r="N9" s="3"/>
      <c r="O9" s="71"/>
      <c r="P9" s="71"/>
      <c r="Q9" s="71"/>
      <c r="R9" s="71"/>
      <c r="S9" s="71"/>
      <c r="T9" s="71"/>
      <c r="U9" s="52"/>
      <c r="V9" s="52"/>
      <c r="W9" s="52"/>
      <c r="X9" s="52"/>
      <c r="Y9" s="52"/>
      <c r="Z9" s="52"/>
      <c r="AA9" s="52"/>
      <c r="AB9" s="52"/>
      <c r="AC9" s="52"/>
      <c r="AD9" s="52"/>
      <c r="AE9" s="52"/>
      <c r="AF9" s="52"/>
      <c r="AG9" s="52"/>
      <c r="AH9" s="52"/>
      <c r="AI9" s="52"/>
      <c r="AJ9" s="52"/>
      <c r="AK9" s="52"/>
    </row>
    <row r="10" spans="1:37" ht="14">
      <c r="A10" s="41" t="s">
        <v>22</v>
      </c>
      <c r="B10" s="42">
        <f>IFERROR(COUNTIFS(Tracker!B7:AJ7,"Low",Tracker!B3:AJ3,"Follicular")/COUNTIF(Tracker!B3:AJ3,"Follicular"),"-")</f>
        <v>0</v>
      </c>
      <c r="C10" s="42">
        <f>IFERROR(COUNTIFS(Tracker!B12:AJ12,"Low",Tracker!B3:AJ3,"Follicular")/COUNTIF(Tracker!B3:AJ3,"Follicular"),"-")</f>
        <v>0</v>
      </c>
      <c r="D10" s="42">
        <f>IFERROR(COUNTIFS(Tracker!B17:AJ17,"Low",Tracker!B3:AJ3,"Follicular")/COUNTIF(Tracker!B3:AJ3,"Follicular"),"-")</f>
        <v>0</v>
      </c>
      <c r="E10" s="42">
        <f>IFERROR(COUNTIFS(Tracker!B22:AJ22,"Low",Tracker!B3:AJ3,"Follicular")/COUNTIF(Tracker!B3:AJ3,"Follicular"),"-")</f>
        <v>0</v>
      </c>
      <c r="F10" s="42">
        <f>IFERROR(COUNTIFS(Tracker!B27:AJ27,"Low",Tracker!B3:AJ3,"Follicular")/COUNTIF(Tracker!B3:AJ3,"Follicular"),"-")</f>
        <v>0</v>
      </c>
      <c r="G10" s="42">
        <f>IFERROR(COUNTIFS(Tracker!B32:AJ32,"Low",Tracker!B3:AJ3,"Follicular")/COUNTIF(Tracker!B3:AJ3,"Follicular"),"-")</f>
        <v>0</v>
      </c>
      <c r="H10" s="42">
        <f>IFERROR(COUNTIFS(Tracker!B37:AJ37,"Low",Tracker!B3:AJ3,"Follicular")/COUNTIF(Tracker!B3:AJ3,"Follicular"),"-")</f>
        <v>0</v>
      </c>
      <c r="I10" s="42">
        <f>IFERROR(COUNTIFS(Tracker!B42:AJ42,"Low",Tracker!B3:AJ3,"Follicular")/COUNTIF(Tracker!B3:AJ3,"Follicular"),"-")</f>
        <v>0</v>
      </c>
      <c r="J10" s="42">
        <f>IFERROR(COUNTIFS(Tracker!B47:AJ47,"Low",Tracker!B3:AJ3,"Follicular")/COUNTIF(Tracker!B3:AJ3,"Follicular"),"-")</f>
        <v>0</v>
      </c>
      <c r="K10" s="42">
        <f>IFERROR(COUNTIFS(Tracker!B52:AJ52,"Low",Tracker!B3:AJ3,"Follicular")/COUNTIF(Tracker!B3:AJ3,"Follicular"),"-")</f>
        <v>0</v>
      </c>
      <c r="L10" s="42">
        <f>IFERROR(COUNTIFS(Tracker!B57:AJ57,"Low",Tracker!B3:AJ3,"Follicular")/COUNTIF(Tracker!B3:AJ3,"Follicular"),"-")</f>
        <v>0</v>
      </c>
      <c r="M10" s="43">
        <f>IFERROR(COUNTIFS(Tracker!B62:AJ62,"Low",Tracker!B3:AJ3,"Follicular")/COUNTIF(Tracker!B3:AJ3,"Follicular"),"-")</f>
        <v>0</v>
      </c>
      <c r="N10" s="3"/>
      <c r="O10" s="139" t="s">
        <v>104</v>
      </c>
      <c r="P10" s="140"/>
      <c r="Q10" s="71"/>
      <c r="R10" s="71"/>
      <c r="S10" s="71"/>
      <c r="T10" s="71"/>
      <c r="U10" s="52"/>
      <c r="V10" s="52"/>
      <c r="W10" s="52"/>
      <c r="X10" s="52"/>
      <c r="Y10" s="52"/>
      <c r="Z10" s="52"/>
      <c r="AA10" s="52"/>
      <c r="AB10" s="52"/>
      <c r="AC10" s="52"/>
      <c r="AD10" s="52"/>
      <c r="AE10" s="52"/>
      <c r="AF10" s="52"/>
      <c r="AG10" s="52"/>
      <c r="AH10" s="52"/>
      <c r="AI10" s="52"/>
      <c r="AJ10" s="52"/>
      <c r="AK10" s="52"/>
    </row>
    <row r="11" spans="1:37" ht="23" customHeight="1">
      <c r="A11" s="3"/>
      <c r="B11" s="3"/>
      <c r="C11" s="3"/>
      <c r="D11" s="3"/>
      <c r="E11" s="3"/>
      <c r="F11" s="3"/>
      <c r="G11" s="3"/>
      <c r="H11" s="3"/>
      <c r="I11" s="3"/>
      <c r="J11" s="3"/>
      <c r="K11" s="3"/>
      <c r="L11" s="3"/>
      <c r="M11" s="3"/>
      <c r="N11" s="3"/>
      <c r="O11" s="72" t="s">
        <v>105</v>
      </c>
      <c r="P11" s="73">
        <f>P7</f>
        <v>5</v>
      </c>
      <c r="Q11" s="71"/>
      <c r="R11" s="71"/>
      <c r="S11" s="71"/>
      <c r="T11" s="71"/>
      <c r="U11" s="52"/>
      <c r="V11" s="52"/>
      <c r="W11" s="52"/>
      <c r="X11" s="52"/>
      <c r="Y11" s="52"/>
      <c r="Z11" s="52"/>
      <c r="AA11" s="52"/>
      <c r="AB11" s="52"/>
      <c r="AC11" s="52"/>
      <c r="AD11" s="52"/>
      <c r="AE11" s="52"/>
      <c r="AF11" s="52"/>
      <c r="AG11" s="52"/>
      <c r="AH11" s="52"/>
      <c r="AI11" s="52"/>
      <c r="AJ11" s="52"/>
      <c r="AK11" s="52"/>
    </row>
    <row r="12" spans="1:37" ht="26" customHeight="1">
      <c r="A12" s="143" t="s">
        <v>100</v>
      </c>
      <c r="B12" s="137"/>
      <c r="C12" s="137"/>
      <c r="D12" s="137"/>
      <c r="E12" s="137"/>
      <c r="F12" s="137"/>
      <c r="G12" s="137"/>
      <c r="H12" s="137"/>
      <c r="I12" s="137"/>
      <c r="J12" s="137"/>
      <c r="K12" s="137"/>
      <c r="L12" s="137"/>
      <c r="M12" s="138"/>
      <c r="N12" s="3"/>
      <c r="O12" s="82" t="s">
        <v>106</v>
      </c>
      <c r="P12" s="83">
        <f>COUNTIF(B15:M15,"YES")</f>
        <v>3</v>
      </c>
      <c r="Q12" s="71"/>
      <c r="R12" s="71"/>
      <c r="S12" s="71"/>
      <c r="T12" s="71"/>
      <c r="U12" s="52"/>
      <c r="V12" s="52"/>
      <c r="W12" s="52"/>
      <c r="X12" s="52"/>
      <c r="Y12" s="52"/>
      <c r="Z12" s="52"/>
      <c r="AA12" s="52"/>
      <c r="AB12" s="52"/>
      <c r="AC12" s="52"/>
      <c r="AD12" s="52"/>
      <c r="AE12" s="52"/>
      <c r="AF12" s="52"/>
      <c r="AG12" s="52"/>
      <c r="AH12" s="52"/>
      <c r="AI12" s="52"/>
      <c r="AJ12" s="52"/>
      <c r="AK12" s="52"/>
    </row>
    <row r="13" spans="1:37" ht="22" customHeight="1">
      <c r="A13" s="44" t="s">
        <v>101</v>
      </c>
      <c r="B13" s="31" t="str">
        <f>IF(B5=0,"",IF(COUNTIFS(Tracker!B7:AJ7,"Low",Tracker!B3:AJ3,"Late Luteal")&gt;0,"YES","NO"))</f>
        <v>NO</v>
      </c>
      <c r="C13" s="31" t="str">
        <f>IF(C5=0,"",IF(COUNTIFS(Tracker!B12:AJ12,"Low",Tracker!B3:AJ3,"Late Luteal")&gt;0,"YES","NO"))</f>
        <v>YES</v>
      </c>
      <c r="D13" s="31" t="str">
        <f>IF(D5=0,"",IF(COUNTIFS(Tracker!B17:AJ17,"Low",Tracker!B3:AJ3,"Late Luteal")&gt;0,"YES","NO"))</f>
        <v>YES</v>
      </c>
      <c r="E13" s="31" t="str">
        <f>IF(E5=0,"",IF(COUNTIFS(Tracker!B22:AJ22,"Low",Tracker!B3:AJ3,"Late Luteal")&gt;0,"YES","NO"))</f>
        <v>YES</v>
      </c>
      <c r="F13" s="31" t="str">
        <f>IF(F5=0,"",IF(COUNTIFS(Tracker!B27:AJ27,"Low",Tracker!B3:AJ3,"Late Luteal")&gt;0,"YES","NO"))</f>
        <v/>
      </c>
      <c r="G13" s="31" t="str">
        <f>IF(G5=0,"",IF(COUNTIFS(Tracker!B32:AJ32,"Low",Tracker!B3:AJ3,"Late Luteal")&gt;0,"YES","NO"))</f>
        <v>NO</v>
      </c>
      <c r="H13" s="31" t="str">
        <f>IF(H5=0,"",IF(COUNTIFS(Tracker!B37:AJ37,"Low",Tracker!B3:AJ3,"Late Luteal")&gt;0,"YES","NO"))</f>
        <v/>
      </c>
      <c r="I13" s="31" t="str">
        <f>IF(I5=0,"",IF(COUNTIFS(Tracker!B42:AJ42,"Low",Tracker!B3:AJ3,"Late Luteal")&gt;0,"YES","NO"))</f>
        <v/>
      </c>
      <c r="J13" s="31" t="str">
        <f>IF(J5=0,"",IF(COUNTIFS(Tracker!B47:AJ47,"Low",Tracker!B3:AJ3,"Late Luteal")&gt;0,"YES","NO"))</f>
        <v/>
      </c>
      <c r="K13" s="31" t="str">
        <f>IF(K5=0,"",IF(COUNTIFS(Tracker!B52:AJ52,"Low",Tracker!B3:AJ3,"Late Luteal")&gt;0,"YES","NO"))</f>
        <v/>
      </c>
      <c r="L13" s="31" t="str">
        <f>IF(L5=0,"",IF(COUNTIFS(Tracker!B57:AJ57,"Low",Tracker!B3:AJ3,"Late Luteal")&gt;0,"YES","NO"))</f>
        <v/>
      </c>
      <c r="M13" s="32" t="str">
        <f>IF(M5=0,"",IF(COUNTIFS(Tracker!B62:AJ62,"Low",Tracker!B3:AJ3,"Late Luteal")&gt;0,"YES","NO"))</f>
        <v/>
      </c>
      <c r="N13" s="3"/>
      <c r="O13" s="84" t="s">
        <v>107</v>
      </c>
      <c r="P13" s="85">
        <f>IFERROR(P12/P11,"-")</f>
        <v>0.6</v>
      </c>
      <c r="Q13" s="71"/>
      <c r="R13" s="71"/>
      <c r="S13" s="71"/>
      <c r="T13" s="71"/>
      <c r="U13" s="52"/>
      <c r="V13" s="52"/>
      <c r="W13" s="52"/>
      <c r="X13" s="52"/>
      <c r="Y13" s="52"/>
      <c r="Z13" s="52"/>
      <c r="AA13" s="52"/>
      <c r="AB13" s="52"/>
      <c r="AC13" s="52"/>
      <c r="AD13" s="52"/>
      <c r="AE13" s="52"/>
      <c r="AF13" s="52"/>
      <c r="AG13" s="52"/>
      <c r="AH13" s="52"/>
      <c r="AI13" s="52"/>
      <c r="AJ13" s="52"/>
      <c r="AK13" s="52"/>
    </row>
    <row r="14" spans="1:37" ht="20" customHeight="1" thickBot="1">
      <c r="A14" s="44" t="s">
        <v>102</v>
      </c>
      <c r="B14" s="31" t="str">
        <f>IF(B5=0,"",IF(COUNTIFS(Tracker!B7:AJ7,"Low",Tracker!B3:AJ3,"Follicular")=0,"YES","NO"))</f>
        <v>YES</v>
      </c>
      <c r="C14" s="31" t="str">
        <f>IF(C5=0,"",IF(COUNTIFS(Tracker!B12:AJ12,"Low",Tracker!B3:AJ3,"Follicular")=0,"YES","NO"))</f>
        <v>YES</v>
      </c>
      <c r="D14" s="31" t="str">
        <f>IF(D5=0,"",IF(COUNTIFS(Tracker!B17:AJ17,"Low",Tracker!B3:AJ3,"Follicular")=0,"YES","NO"))</f>
        <v>YES</v>
      </c>
      <c r="E14" s="31" t="str">
        <f>IF(E5=0,"",IF(COUNTIFS(Tracker!B22:AJ22,"Low",Tracker!B3:AJ3,"Follicular")=0,"YES","NO"))</f>
        <v>YES</v>
      </c>
      <c r="F14" s="31" t="str">
        <f>IF(F5=0,"",IF(COUNTIFS(Tracker!B27:AJ27,"Low",Tracker!B3:AJ3,"Follicular")=0,"YES","NO"))</f>
        <v/>
      </c>
      <c r="G14" s="31" t="str">
        <f>IF(G5=0,"",IF(COUNTIFS(Tracker!B32:AJ32,"Low",Tracker!B3:AJ3,"Follicular")=0,"YES","NO"))</f>
        <v>YES</v>
      </c>
      <c r="H14" s="31" t="str">
        <f>IF(H5=0,"",IF(COUNTIFS(Tracker!B37:AJ37,"Low",Tracker!B3:AJ3,"Follicular")=0,"YES","NO"))</f>
        <v/>
      </c>
      <c r="I14" s="31" t="str">
        <f>IF(I5=0,"",IF(COUNTIFS(Tracker!B42:AJ42,"Low",Tracker!B3:AJ3,"Follicular")=0,"YES","NO"))</f>
        <v/>
      </c>
      <c r="J14" s="31" t="str">
        <f>IF(J5=0,"",IF(COUNTIFS(Tracker!B47:AJ47,"Low",Tracker!B3:AJ3,"Follicular")=0,"YES","NO"))</f>
        <v/>
      </c>
      <c r="K14" s="31" t="str">
        <f>IF(K5=0,"",IF(COUNTIFS(Tracker!B52:AJ52,"Low",Tracker!B3:AJ3,"Follicular")=0,"YES","NO"))</f>
        <v/>
      </c>
      <c r="L14" s="31" t="str">
        <f>IF(L5=0,"",IF(COUNTIFS(Tracker!B57:AJ57,"Low",Tracker!B3:AJ3,"Follicular")=0,"YES","NO"))</f>
        <v/>
      </c>
      <c r="M14" s="32" t="str">
        <f>IF(M5=0,"",IF(COUNTIFS(Tracker!B62:AJ62,"Low",Tracker!B3:AJ3,"Follicular")=0,"YES","NO"))</f>
        <v/>
      </c>
      <c r="N14" s="3"/>
      <c r="O14" s="86"/>
      <c r="P14" s="87"/>
      <c r="Q14" s="71"/>
      <c r="R14" s="71"/>
      <c r="S14" s="71"/>
      <c r="T14" s="71"/>
      <c r="U14" s="52"/>
      <c r="V14" s="52"/>
      <c r="W14" s="52"/>
      <c r="X14" s="52"/>
      <c r="Y14" s="52"/>
      <c r="Z14" s="52"/>
      <c r="AA14" s="52"/>
      <c r="AB14" s="52"/>
      <c r="AC14" s="52"/>
      <c r="AD14" s="52"/>
      <c r="AE14" s="52"/>
      <c r="AF14" s="52"/>
      <c r="AG14" s="52"/>
      <c r="AH14" s="52"/>
      <c r="AI14" s="52"/>
      <c r="AJ14" s="52"/>
      <c r="AK14" s="52"/>
    </row>
    <row r="15" spans="1:37" ht="40" customHeight="1">
      <c r="A15" s="45" t="s">
        <v>103</v>
      </c>
      <c r="B15" s="46" t="str">
        <f t="shared" ref="B15:M15" si="0">IF(B5=0,"",IF(AND(B13="YES",B14="YES"),"YES","NO"))</f>
        <v>NO</v>
      </c>
      <c r="C15" s="46" t="str">
        <f t="shared" si="0"/>
        <v>YES</v>
      </c>
      <c r="D15" s="46" t="str">
        <f t="shared" si="0"/>
        <v>YES</v>
      </c>
      <c r="E15" s="46" t="str">
        <f t="shared" si="0"/>
        <v>YES</v>
      </c>
      <c r="F15" s="46" t="str">
        <f t="shared" si="0"/>
        <v/>
      </c>
      <c r="G15" s="46" t="str">
        <f t="shared" si="0"/>
        <v>NO</v>
      </c>
      <c r="H15" s="46" t="str">
        <f t="shared" si="0"/>
        <v/>
      </c>
      <c r="I15" s="46" t="str">
        <f t="shared" si="0"/>
        <v/>
      </c>
      <c r="J15" s="46" t="str">
        <f t="shared" si="0"/>
        <v/>
      </c>
      <c r="K15" s="46" t="str">
        <f t="shared" si="0"/>
        <v/>
      </c>
      <c r="L15" s="46" t="str">
        <f t="shared" si="0"/>
        <v/>
      </c>
      <c r="M15" s="47" t="str">
        <f t="shared" si="0"/>
        <v/>
      </c>
      <c r="N15" s="3"/>
      <c r="O15" s="88" t="s">
        <v>131</v>
      </c>
      <c r="P15" s="155" t="str">
        <f>IF(P11&lt;2,"Keep tracking",IF(P13&gt;=0.5,"A recurring pattern was recorded",IF(P13&gt;=0.25,"A pattern may be emerging","No clear pattern yet")))</f>
        <v>A recurring pattern was recorded</v>
      </c>
      <c r="Q15" s="71"/>
      <c r="R15" s="71"/>
      <c r="S15" s="71"/>
      <c r="T15" s="71"/>
      <c r="U15" s="52"/>
      <c r="V15" s="52"/>
      <c r="W15" s="52"/>
      <c r="X15" s="52"/>
      <c r="Y15" s="52"/>
      <c r="Z15" s="52"/>
      <c r="AA15" s="52"/>
      <c r="AB15" s="52"/>
      <c r="AC15" s="52"/>
      <c r="AD15" s="52"/>
      <c r="AE15" s="52"/>
      <c r="AF15" s="52"/>
      <c r="AG15" s="52"/>
      <c r="AH15" s="52"/>
      <c r="AI15" s="52"/>
      <c r="AJ15" s="52"/>
      <c r="AK15" s="52"/>
    </row>
    <row r="16" spans="1:37" ht="36" customHeight="1">
      <c r="A16" s="3"/>
      <c r="B16" s="3"/>
      <c r="C16" s="3"/>
      <c r="D16" s="3"/>
      <c r="E16" s="3"/>
      <c r="F16" s="3"/>
      <c r="G16" s="3"/>
      <c r="H16" s="3"/>
      <c r="I16" s="3"/>
      <c r="J16" s="3"/>
      <c r="K16" s="3"/>
      <c r="L16" s="3"/>
      <c r="M16" s="3"/>
      <c r="N16" s="3"/>
      <c r="O16" s="89" t="s">
        <v>108</v>
      </c>
      <c r="P16" s="90" t="str">
        <f>IF(P11&lt;2,"Track at least 2 full cycles to see a clearer picture",IF(P13&gt;=0.5,"This could be worth discussing with your doctor — bring this tracker along",IF(P13&gt;=0.25,"Keep tracking to see if the pattern continues","Keep tracking — patterns often take a few cycles to show")))</f>
        <v>This could be worth discussing with your doctor — bring this tracker along</v>
      </c>
      <c r="Q16" s="71"/>
      <c r="R16" s="71"/>
      <c r="S16" s="71"/>
      <c r="T16" s="71"/>
      <c r="U16" s="52"/>
      <c r="V16" s="52"/>
      <c r="W16" s="52"/>
      <c r="X16" s="52"/>
      <c r="Y16" s="52"/>
      <c r="Z16" s="52"/>
      <c r="AA16" s="52"/>
      <c r="AB16" s="52"/>
      <c r="AC16" s="52"/>
      <c r="AD16" s="52"/>
      <c r="AE16" s="52"/>
      <c r="AF16" s="52"/>
      <c r="AG16" s="52"/>
      <c r="AH16" s="52"/>
      <c r="AI16" s="52"/>
      <c r="AJ16" s="52"/>
      <c r="AK16" s="52"/>
    </row>
    <row r="17" spans="1:37" ht="22" customHeight="1">
      <c r="A17" s="48" t="s">
        <v>109</v>
      </c>
      <c r="B17" s="49"/>
      <c r="C17" s="49"/>
      <c r="D17" s="49"/>
      <c r="E17" s="49"/>
      <c r="F17" s="49"/>
      <c r="G17" s="49"/>
      <c r="H17" s="49"/>
      <c r="I17" s="49"/>
      <c r="J17" s="49"/>
      <c r="K17" s="49"/>
      <c r="L17" s="49"/>
      <c r="M17" s="50"/>
      <c r="N17" s="3"/>
      <c r="O17" s="71"/>
      <c r="P17" s="71"/>
      <c r="Q17" s="71"/>
      <c r="R17" s="71"/>
      <c r="S17" s="71"/>
      <c r="T17" s="71"/>
      <c r="U17" s="52"/>
      <c r="V17" s="52"/>
      <c r="W17" s="52"/>
      <c r="X17" s="52"/>
      <c r="Y17" s="52"/>
      <c r="Z17" s="52"/>
      <c r="AA17" s="52"/>
      <c r="AB17" s="52"/>
      <c r="AC17" s="52"/>
      <c r="AD17" s="52"/>
      <c r="AE17" s="52"/>
      <c r="AF17" s="52"/>
      <c r="AG17" s="52"/>
      <c r="AH17" s="52"/>
      <c r="AI17" s="52"/>
      <c r="AJ17" s="52"/>
      <c r="AK17" s="52"/>
    </row>
    <row r="18" spans="1:37" ht="40" customHeight="1">
      <c r="A18" s="156" t="s">
        <v>110</v>
      </c>
      <c r="B18" s="157"/>
      <c r="C18" s="157"/>
      <c r="D18" s="157"/>
      <c r="E18" s="157"/>
      <c r="F18" s="157"/>
      <c r="G18" s="157"/>
      <c r="H18" s="157"/>
      <c r="I18" s="157"/>
      <c r="J18" s="157"/>
      <c r="K18" s="157"/>
      <c r="L18" s="157"/>
      <c r="M18" s="158"/>
      <c r="N18" s="3"/>
      <c r="O18" s="71"/>
      <c r="P18" s="71"/>
      <c r="Q18" s="71"/>
      <c r="R18" s="71"/>
      <c r="S18" s="71"/>
      <c r="T18" s="71"/>
      <c r="U18" s="52"/>
      <c r="V18" s="52"/>
      <c r="W18" s="52"/>
      <c r="X18" s="52"/>
      <c r="Y18" s="52"/>
      <c r="Z18" s="52"/>
      <c r="AA18" s="52"/>
      <c r="AB18" s="52"/>
      <c r="AC18" s="52"/>
      <c r="AD18" s="52"/>
      <c r="AE18" s="52"/>
      <c r="AF18" s="52"/>
      <c r="AG18" s="52"/>
      <c r="AH18" s="52"/>
      <c r="AI18" s="52"/>
      <c r="AJ18" s="52"/>
      <c r="AK18" s="52"/>
    </row>
    <row r="19" spans="1:37">
      <c r="A19" s="3"/>
      <c r="B19" s="3"/>
      <c r="C19" s="3"/>
      <c r="D19" s="3"/>
      <c r="E19" s="3"/>
      <c r="F19" s="3"/>
      <c r="G19" s="3"/>
      <c r="H19" s="3"/>
      <c r="I19" s="3"/>
      <c r="J19" s="3"/>
      <c r="K19" s="3"/>
      <c r="L19" s="3"/>
      <c r="M19" s="3"/>
      <c r="N19" s="3"/>
      <c r="O19" s="71"/>
      <c r="P19" s="71"/>
      <c r="Q19" s="71"/>
      <c r="R19" s="71"/>
      <c r="S19" s="71"/>
      <c r="T19" s="71"/>
      <c r="U19" s="52"/>
      <c r="V19" s="52"/>
      <c r="W19" s="52"/>
      <c r="X19" s="52"/>
      <c r="Y19" s="52"/>
      <c r="Z19" s="52"/>
      <c r="AA19" s="52"/>
      <c r="AB19" s="52"/>
      <c r="AC19" s="52"/>
      <c r="AD19" s="52"/>
      <c r="AE19" s="52"/>
      <c r="AF19" s="52"/>
      <c r="AG19" s="52"/>
      <c r="AH19" s="52"/>
      <c r="AI19" s="52"/>
      <c r="AJ19" s="52"/>
      <c r="AK19" s="52"/>
    </row>
    <row r="20" spans="1:37">
      <c r="A20" s="3"/>
      <c r="B20" s="3"/>
      <c r="C20" s="3"/>
      <c r="D20" s="3"/>
      <c r="E20" s="3"/>
      <c r="F20" s="3"/>
      <c r="G20" s="3"/>
      <c r="H20" s="3"/>
      <c r="I20" s="3"/>
      <c r="J20" s="3"/>
      <c r="K20" s="3"/>
      <c r="L20" s="3"/>
      <c r="M20" s="3"/>
      <c r="N20" s="3"/>
      <c r="O20" s="71"/>
      <c r="P20" s="71"/>
      <c r="Q20" s="71"/>
      <c r="R20" s="71"/>
      <c r="S20" s="71"/>
      <c r="T20" s="71"/>
      <c r="U20" s="52"/>
      <c r="V20" s="52"/>
      <c r="W20" s="52"/>
      <c r="X20" s="52"/>
      <c r="Y20" s="52"/>
      <c r="Z20" s="52"/>
      <c r="AA20" s="52"/>
      <c r="AB20" s="52"/>
      <c r="AC20" s="52"/>
      <c r="AD20" s="52"/>
      <c r="AE20" s="52"/>
      <c r="AF20" s="52"/>
      <c r="AG20" s="52"/>
      <c r="AH20" s="52"/>
      <c r="AI20" s="52"/>
      <c r="AJ20" s="52"/>
      <c r="AK20" s="52"/>
    </row>
    <row r="21" spans="1:37">
      <c r="A21" s="3"/>
      <c r="B21" s="3"/>
      <c r="C21" s="3"/>
      <c r="D21" s="3"/>
      <c r="E21" s="3"/>
      <c r="F21" s="3"/>
      <c r="G21" s="3"/>
      <c r="H21" s="3"/>
      <c r="I21" s="3"/>
      <c r="J21" s="3"/>
      <c r="K21" s="3"/>
      <c r="L21" s="3"/>
      <c r="M21" s="3"/>
      <c r="N21" s="3"/>
      <c r="O21" s="71"/>
      <c r="P21" s="71"/>
      <c r="Q21" s="71"/>
      <c r="R21" s="71"/>
      <c r="S21" s="71"/>
      <c r="T21" s="71"/>
      <c r="U21" s="52"/>
      <c r="V21" s="52"/>
      <c r="W21" s="52"/>
      <c r="X21" s="52"/>
      <c r="Y21" s="52"/>
      <c r="Z21" s="52"/>
      <c r="AA21" s="52"/>
      <c r="AB21" s="52"/>
      <c r="AC21" s="52"/>
      <c r="AD21" s="52"/>
      <c r="AE21" s="52"/>
      <c r="AF21" s="52"/>
      <c r="AG21" s="52"/>
      <c r="AH21" s="52"/>
      <c r="AI21" s="52"/>
      <c r="AJ21" s="52"/>
      <c r="AK21" s="52"/>
    </row>
    <row r="22" spans="1:37">
      <c r="A22" s="3"/>
      <c r="B22" s="3"/>
      <c r="C22" s="3"/>
      <c r="D22" s="3"/>
      <c r="E22" s="3"/>
      <c r="F22" s="3"/>
      <c r="G22" s="3"/>
      <c r="H22" s="3"/>
      <c r="I22" s="3"/>
      <c r="J22" s="3"/>
      <c r="K22" s="3"/>
      <c r="L22" s="3"/>
      <c r="M22" s="3"/>
      <c r="N22" s="3"/>
      <c r="O22" s="71"/>
      <c r="P22" s="71"/>
      <c r="Q22" s="71"/>
      <c r="R22" s="71"/>
      <c r="S22" s="71"/>
      <c r="T22" s="71"/>
      <c r="U22" s="52"/>
      <c r="V22" s="52"/>
      <c r="W22" s="52"/>
      <c r="X22" s="52"/>
      <c r="Y22" s="52"/>
      <c r="Z22" s="52"/>
      <c r="AA22" s="52"/>
      <c r="AB22" s="52"/>
      <c r="AC22" s="52"/>
      <c r="AD22" s="52"/>
      <c r="AE22" s="52"/>
      <c r="AF22" s="52"/>
      <c r="AG22" s="52"/>
      <c r="AH22" s="52"/>
      <c r="AI22" s="52"/>
      <c r="AJ22" s="52"/>
      <c r="AK22" s="52"/>
    </row>
    <row r="23" spans="1:37">
      <c r="A23" s="3"/>
      <c r="B23" s="3"/>
      <c r="C23" s="3"/>
      <c r="D23" s="3"/>
      <c r="E23" s="3"/>
      <c r="F23" s="3"/>
      <c r="G23" s="3"/>
      <c r="H23" s="3"/>
      <c r="I23" s="3"/>
      <c r="J23" s="3"/>
      <c r="K23" s="3"/>
      <c r="L23" s="3"/>
      <c r="M23" s="3"/>
      <c r="N23" s="3"/>
      <c r="O23" s="71"/>
      <c r="P23" s="71"/>
      <c r="Q23" s="71"/>
      <c r="R23" s="71"/>
      <c r="S23" s="71"/>
      <c r="T23" s="71"/>
      <c r="U23" s="52"/>
      <c r="V23" s="52"/>
      <c r="W23" s="52"/>
      <c r="X23" s="52"/>
      <c r="Y23" s="52"/>
      <c r="Z23" s="52"/>
      <c r="AA23" s="52"/>
      <c r="AB23" s="52"/>
      <c r="AC23" s="52"/>
      <c r="AD23" s="52"/>
      <c r="AE23" s="52"/>
      <c r="AF23" s="52"/>
      <c r="AG23" s="52"/>
      <c r="AH23" s="52"/>
      <c r="AI23" s="52"/>
      <c r="AJ23" s="52"/>
      <c r="AK23" s="52"/>
    </row>
    <row r="24" spans="1:37">
      <c r="A24" s="3"/>
      <c r="B24" s="3"/>
      <c r="C24" s="3"/>
      <c r="D24" s="3"/>
      <c r="E24" s="3"/>
      <c r="F24" s="3"/>
      <c r="G24" s="3"/>
      <c r="H24" s="3"/>
      <c r="I24" s="3"/>
      <c r="J24" s="3"/>
      <c r="K24" s="3"/>
      <c r="L24" s="3"/>
      <c r="M24" s="3"/>
      <c r="N24" s="3"/>
      <c r="O24" s="71"/>
      <c r="P24" s="71"/>
      <c r="Q24" s="71"/>
      <c r="R24" s="71"/>
      <c r="S24" s="71"/>
      <c r="T24" s="71"/>
      <c r="U24" s="52"/>
      <c r="V24" s="52"/>
      <c r="W24" s="52"/>
      <c r="X24" s="52"/>
      <c r="Y24" s="52"/>
      <c r="Z24" s="52"/>
      <c r="AA24" s="52"/>
      <c r="AB24" s="52"/>
      <c r="AC24" s="52"/>
      <c r="AD24" s="52"/>
      <c r="AE24" s="52"/>
      <c r="AF24" s="52"/>
      <c r="AG24" s="52"/>
      <c r="AH24" s="52"/>
      <c r="AI24" s="52"/>
      <c r="AJ24" s="52"/>
      <c r="AK24" s="52"/>
    </row>
    <row r="25" spans="1:37">
      <c r="A25" s="3"/>
      <c r="B25" s="3"/>
      <c r="C25" s="3"/>
      <c r="D25" s="3"/>
      <c r="E25" s="3"/>
      <c r="F25" s="3"/>
      <c r="G25" s="3"/>
      <c r="H25" s="3"/>
      <c r="I25" s="3"/>
      <c r="J25" s="3"/>
      <c r="K25" s="3"/>
      <c r="L25" s="3"/>
      <c r="M25" s="3"/>
      <c r="N25" s="3"/>
      <c r="O25" s="71"/>
      <c r="P25" s="71"/>
      <c r="Q25" s="71"/>
      <c r="R25" s="71"/>
      <c r="S25" s="71"/>
      <c r="T25" s="71"/>
      <c r="U25" s="52"/>
      <c r="V25" s="52"/>
      <c r="W25" s="52"/>
      <c r="X25" s="52"/>
      <c r="Y25" s="52"/>
      <c r="Z25" s="52"/>
      <c r="AA25" s="52"/>
      <c r="AB25" s="52"/>
      <c r="AC25" s="52"/>
      <c r="AD25" s="52"/>
      <c r="AE25" s="52"/>
      <c r="AF25" s="52"/>
      <c r="AG25" s="52"/>
      <c r="AH25" s="52"/>
      <c r="AI25" s="52"/>
      <c r="AJ25" s="52"/>
      <c r="AK25" s="52"/>
    </row>
    <row r="26" spans="1:37">
      <c r="A26" s="3"/>
      <c r="B26" s="3"/>
      <c r="C26" s="3"/>
      <c r="D26" s="3"/>
      <c r="E26" s="3"/>
      <c r="F26" s="3"/>
      <c r="G26" s="3"/>
      <c r="H26" s="3"/>
      <c r="I26" s="3"/>
      <c r="J26" s="3"/>
      <c r="K26" s="3"/>
      <c r="L26" s="3"/>
      <c r="M26" s="3"/>
      <c r="N26" s="3"/>
      <c r="O26" s="52"/>
      <c r="P26" s="52"/>
      <c r="Q26" s="52"/>
      <c r="R26" s="52"/>
      <c r="S26" s="52"/>
      <c r="T26" s="52"/>
      <c r="U26" s="52"/>
      <c r="V26" s="52"/>
      <c r="W26" s="52"/>
      <c r="X26" s="52"/>
      <c r="Y26" s="52"/>
      <c r="Z26" s="52"/>
      <c r="AA26" s="52"/>
      <c r="AB26" s="52"/>
      <c r="AC26" s="52"/>
      <c r="AD26" s="52"/>
      <c r="AE26" s="52"/>
      <c r="AF26" s="52"/>
      <c r="AG26" s="52"/>
      <c r="AH26" s="52"/>
      <c r="AI26" s="52"/>
      <c r="AJ26" s="52"/>
      <c r="AK26" s="52"/>
    </row>
    <row r="27" spans="1:37">
      <c r="A27" s="3"/>
      <c r="B27" s="3"/>
      <c r="C27" s="3"/>
      <c r="D27" s="3"/>
      <c r="E27" s="3"/>
      <c r="F27" s="3"/>
      <c r="G27" s="3"/>
      <c r="H27" s="3"/>
      <c r="I27" s="3"/>
      <c r="J27" s="3"/>
      <c r="K27" s="3"/>
      <c r="L27" s="3"/>
      <c r="M27" s="3"/>
      <c r="N27" s="3"/>
      <c r="O27" s="52"/>
      <c r="P27" s="52"/>
      <c r="Q27" s="52"/>
      <c r="R27" s="52"/>
      <c r="S27" s="52"/>
      <c r="T27" s="52"/>
      <c r="U27" s="52"/>
      <c r="V27" s="52"/>
      <c r="W27" s="52"/>
      <c r="X27" s="52"/>
      <c r="Y27" s="52"/>
      <c r="Z27" s="52"/>
      <c r="AA27" s="52"/>
      <c r="AB27" s="52"/>
      <c r="AC27" s="52"/>
      <c r="AD27" s="52"/>
      <c r="AE27" s="52"/>
      <c r="AF27" s="52"/>
      <c r="AG27" s="52"/>
      <c r="AH27" s="52"/>
      <c r="AI27" s="52"/>
      <c r="AJ27" s="52"/>
      <c r="AK27" s="52"/>
    </row>
    <row r="28" spans="1:37">
      <c r="A28" s="3"/>
      <c r="B28" s="3"/>
      <c r="C28" s="3"/>
      <c r="D28" s="3"/>
      <c r="E28" s="3"/>
      <c r="F28" s="3"/>
      <c r="G28" s="3"/>
      <c r="H28" s="3"/>
      <c r="I28" s="3"/>
      <c r="J28" s="3"/>
      <c r="K28" s="3"/>
      <c r="L28" s="3"/>
      <c r="M28" s="3"/>
      <c r="N28" s="3"/>
      <c r="O28" s="52"/>
      <c r="P28" s="52"/>
      <c r="Q28" s="52"/>
      <c r="R28" s="52"/>
      <c r="S28" s="52"/>
      <c r="T28" s="52"/>
      <c r="U28" s="52"/>
      <c r="V28" s="52"/>
      <c r="W28" s="52"/>
      <c r="X28" s="52"/>
      <c r="Y28" s="52"/>
      <c r="Z28" s="52"/>
      <c r="AA28" s="52"/>
      <c r="AB28" s="52"/>
      <c r="AC28" s="52"/>
      <c r="AD28" s="52"/>
      <c r="AE28" s="52"/>
      <c r="AF28" s="52"/>
      <c r="AG28" s="52"/>
      <c r="AH28" s="52"/>
      <c r="AI28" s="52"/>
      <c r="AJ28" s="52"/>
      <c r="AK28" s="52"/>
    </row>
    <row r="29" spans="1:37">
      <c r="A29" s="3"/>
      <c r="B29" s="3"/>
      <c r="C29" s="3"/>
      <c r="D29" s="3"/>
      <c r="E29" s="3"/>
      <c r="F29" s="3"/>
      <c r="G29" s="3"/>
      <c r="H29" s="3"/>
      <c r="I29" s="3"/>
      <c r="J29" s="3"/>
      <c r="K29" s="3"/>
      <c r="L29" s="3"/>
      <c r="M29" s="3"/>
      <c r="N29" s="3"/>
      <c r="O29" s="52"/>
      <c r="P29" s="52"/>
      <c r="Q29" s="52"/>
      <c r="R29" s="52"/>
      <c r="S29" s="52"/>
      <c r="T29" s="52"/>
      <c r="U29" s="52"/>
      <c r="V29" s="52"/>
      <c r="W29" s="52"/>
      <c r="X29" s="52"/>
      <c r="Y29" s="52"/>
      <c r="Z29" s="52"/>
      <c r="AA29" s="52"/>
      <c r="AB29" s="52"/>
      <c r="AC29" s="52"/>
      <c r="AD29" s="52"/>
      <c r="AE29" s="52"/>
      <c r="AF29" s="52"/>
      <c r="AG29" s="52"/>
      <c r="AH29" s="52"/>
      <c r="AI29" s="52"/>
      <c r="AJ29" s="52"/>
      <c r="AK29" s="52"/>
    </row>
    <row r="30" spans="1:37">
      <c r="A30" s="3"/>
      <c r="B30" s="3"/>
      <c r="C30" s="3"/>
      <c r="D30" s="3"/>
      <c r="E30" s="3"/>
      <c r="F30" s="3"/>
      <c r="G30" s="3"/>
      <c r="H30" s="3"/>
      <c r="I30" s="3"/>
      <c r="J30" s="3"/>
      <c r="K30" s="3"/>
      <c r="L30" s="3"/>
      <c r="M30" s="3"/>
      <c r="N30" s="3"/>
      <c r="O30" s="52"/>
      <c r="P30" s="52"/>
      <c r="Q30" s="52"/>
      <c r="R30" s="52"/>
      <c r="S30" s="52"/>
      <c r="T30" s="52"/>
      <c r="U30" s="52"/>
      <c r="V30" s="52"/>
      <c r="W30" s="52"/>
      <c r="X30" s="52"/>
      <c r="Y30" s="52"/>
      <c r="Z30" s="52"/>
      <c r="AA30" s="52"/>
      <c r="AB30" s="52"/>
      <c r="AC30" s="52"/>
      <c r="AD30" s="52"/>
      <c r="AE30" s="52"/>
      <c r="AF30" s="52"/>
      <c r="AG30" s="52"/>
      <c r="AH30" s="52"/>
      <c r="AI30" s="52"/>
      <c r="AJ30" s="52"/>
      <c r="AK30" s="52"/>
    </row>
    <row r="31" spans="1:37">
      <c r="A31" s="3"/>
      <c r="B31" s="3"/>
      <c r="C31" s="3"/>
      <c r="D31" s="3"/>
      <c r="E31" s="3"/>
      <c r="F31" s="3"/>
      <c r="G31" s="3"/>
      <c r="H31" s="3"/>
      <c r="I31" s="3"/>
      <c r="J31" s="3"/>
      <c r="K31" s="3"/>
      <c r="L31" s="3"/>
      <c r="M31" s="3"/>
      <c r="N31" s="3"/>
      <c r="O31" s="52"/>
      <c r="P31" s="52"/>
      <c r="Q31" s="52"/>
      <c r="R31" s="52"/>
      <c r="S31" s="52"/>
      <c r="T31" s="52"/>
      <c r="U31" s="52"/>
      <c r="V31" s="52"/>
      <c r="W31" s="52"/>
      <c r="X31" s="52"/>
      <c r="Y31" s="52"/>
      <c r="Z31" s="52"/>
      <c r="AA31" s="52"/>
      <c r="AB31" s="52"/>
      <c r="AC31" s="52"/>
      <c r="AD31" s="52"/>
      <c r="AE31" s="52"/>
      <c r="AF31" s="52"/>
      <c r="AG31" s="52"/>
      <c r="AH31" s="52"/>
      <c r="AI31" s="52"/>
      <c r="AJ31" s="52"/>
      <c r="AK31" s="52"/>
    </row>
    <row r="32" spans="1:37">
      <c r="A32" s="3"/>
      <c r="B32" s="3"/>
      <c r="C32" s="3"/>
      <c r="D32" s="3"/>
      <c r="E32" s="3"/>
      <c r="F32" s="3"/>
      <c r="G32" s="3"/>
      <c r="H32" s="3"/>
      <c r="I32" s="3"/>
      <c r="J32" s="3"/>
      <c r="K32" s="3"/>
      <c r="L32" s="3"/>
      <c r="M32" s="3"/>
      <c r="N32" s="3"/>
      <c r="O32" s="52"/>
      <c r="P32" s="52"/>
      <c r="Q32" s="52"/>
      <c r="R32" s="52"/>
      <c r="S32" s="52"/>
      <c r="T32" s="52"/>
      <c r="U32" s="52"/>
      <c r="V32" s="52"/>
      <c r="W32" s="52"/>
      <c r="X32" s="52"/>
      <c r="Y32" s="52"/>
      <c r="Z32" s="52"/>
      <c r="AA32" s="52"/>
      <c r="AB32" s="52"/>
      <c r="AC32" s="52"/>
      <c r="AD32" s="52"/>
      <c r="AE32" s="52"/>
      <c r="AF32" s="52"/>
      <c r="AG32" s="52"/>
      <c r="AH32" s="52"/>
      <c r="AI32" s="52"/>
      <c r="AJ32" s="52"/>
      <c r="AK32" s="52"/>
    </row>
    <row r="33" spans="1:37">
      <c r="A33" s="3"/>
      <c r="B33" s="3"/>
      <c r="C33" s="3"/>
      <c r="D33" s="3"/>
      <c r="E33" s="3"/>
      <c r="F33" s="3"/>
      <c r="G33" s="3"/>
      <c r="H33" s="3"/>
      <c r="I33" s="3"/>
      <c r="J33" s="3"/>
      <c r="K33" s="3"/>
      <c r="L33" s="3"/>
      <c r="M33" s="3"/>
      <c r="N33" s="3"/>
      <c r="O33" s="52"/>
      <c r="P33" s="52"/>
      <c r="Q33" s="52"/>
      <c r="R33" s="52"/>
      <c r="S33" s="52"/>
      <c r="T33" s="52"/>
      <c r="U33" s="52"/>
      <c r="V33" s="52"/>
      <c r="W33" s="52"/>
      <c r="X33" s="52"/>
      <c r="Y33" s="52"/>
      <c r="Z33" s="52"/>
      <c r="AA33" s="52"/>
      <c r="AB33" s="52"/>
      <c r="AC33" s="52"/>
      <c r="AD33" s="52"/>
      <c r="AE33" s="52"/>
      <c r="AF33" s="52"/>
      <c r="AG33" s="52"/>
      <c r="AH33" s="52"/>
      <c r="AI33" s="52"/>
      <c r="AJ33" s="52"/>
      <c r="AK33" s="52"/>
    </row>
    <row r="34" spans="1:37">
      <c r="A34" s="3"/>
      <c r="B34" s="3"/>
      <c r="C34" s="3"/>
      <c r="D34" s="3"/>
      <c r="E34" s="3"/>
      <c r="F34" s="3"/>
      <c r="G34" s="3"/>
      <c r="H34" s="3"/>
      <c r="I34" s="3"/>
      <c r="J34" s="3"/>
      <c r="K34" s="3"/>
      <c r="L34" s="3"/>
      <c r="M34" s="3"/>
      <c r="N34" s="3"/>
      <c r="O34" s="52"/>
      <c r="P34" s="52"/>
      <c r="Q34" s="52"/>
      <c r="R34" s="52"/>
      <c r="S34" s="52"/>
      <c r="T34" s="52"/>
      <c r="U34" s="52"/>
      <c r="V34" s="52"/>
      <c r="W34" s="52"/>
      <c r="X34" s="52"/>
      <c r="Y34" s="52"/>
      <c r="Z34" s="52"/>
      <c r="AA34" s="52"/>
      <c r="AB34" s="52"/>
      <c r="AC34" s="52"/>
      <c r="AD34" s="52"/>
      <c r="AE34" s="52"/>
      <c r="AF34" s="52"/>
      <c r="AG34" s="52"/>
      <c r="AH34" s="52"/>
      <c r="AI34" s="52"/>
      <c r="AJ34" s="52"/>
      <c r="AK34" s="52"/>
    </row>
    <row r="35" spans="1:37">
      <c r="A35" s="3"/>
      <c r="B35" s="3"/>
      <c r="C35" s="3"/>
      <c r="D35" s="3"/>
      <c r="E35" s="3"/>
      <c r="F35" s="3"/>
      <c r="G35" s="3"/>
      <c r="H35" s="3"/>
      <c r="I35" s="3"/>
      <c r="J35" s="3"/>
      <c r="K35" s="3"/>
      <c r="L35" s="3"/>
      <c r="M35" s="3"/>
      <c r="N35" s="3"/>
      <c r="O35" s="52"/>
      <c r="P35" s="52"/>
      <c r="Q35" s="52"/>
      <c r="R35" s="52"/>
      <c r="S35" s="52"/>
      <c r="T35" s="52"/>
      <c r="U35" s="52"/>
      <c r="V35" s="52"/>
      <c r="W35" s="52"/>
      <c r="X35" s="52"/>
      <c r="Y35" s="52"/>
      <c r="Z35" s="52"/>
      <c r="AA35" s="52"/>
      <c r="AB35" s="52"/>
      <c r="AC35" s="52"/>
      <c r="AD35" s="52"/>
      <c r="AE35" s="52"/>
      <c r="AF35" s="52"/>
      <c r="AG35" s="52"/>
      <c r="AH35" s="52"/>
      <c r="AI35" s="52"/>
      <c r="AJ35" s="52"/>
      <c r="AK35" s="52"/>
    </row>
    <row r="36" spans="1:37">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row>
    <row r="37" spans="1: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row>
    <row r="38" spans="1:37">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row>
    <row r="39" spans="1:37">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row>
    <row r="40" spans="1:37">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row>
    <row r="41" spans="1:37">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row>
    <row r="42" spans="1:37">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row>
    <row r="43" spans="1:37">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row>
    <row r="44" spans="1:37">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row>
    <row r="45" spans="1:37">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row>
    <row r="46" spans="1:37">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row>
    <row r="47" spans="1:3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row>
    <row r="48" spans="1:37">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row>
    <row r="49" spans="1:37">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row>
    <row r="50" spans="1:37">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row>
    <row r="51" spans="1:37">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row>
    <row r="52" spans="1:37">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row>
    <row r="53" spans="1:37">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row>
    <row r="54" spans="1:37">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row>
    <row r="55" spans="1:37">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row>
    <row r="56" spans="1:37">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row>
    <row r="57" spans="1:3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row>
    <row r="58" spans="1:37">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row>
    <row r="59" spans="1:37">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row>
    <row r="60" spans="1:37">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row>
    <row r="61" spans="1:37">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row>
    <row r="62" spans="1:37">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row>
    <row r="63" spans="1:37">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row>
    <row r="64" spans="1:37">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row>
    <row r="65" spans="1:37">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row>
    <row r="66" spans="1:37">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row>
    <row r="67" spans="1:3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row>
    <row r="68" spans="1:37">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row>
    <row r="69" spans="1:37">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row>
    <row r="70" spans="1:37">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row>
    <row r="71" spans="1:37">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row>
    <row r="72" spans="1:37">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row>
    <row r="73" spans="1:37">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row>
    <row r="74" spans="1:37">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row>
    <row r="75" spans="1:37">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row>
    <row r="76" spans="1:37">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row>
    <row r="77" spans="1:3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row>
    <row r="78" spans="1:37">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row>
    <row r="79" spans="1:37">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row>
    <row r="80" spans="1:37">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row>
  </sheetData>
  <mergeCells count="2">
    <mergeCell ref="A18:M18"/>
    <mergeCell ref="A1:M1"/>
  </mergeCells>
  <conditionalFormatting sqref="B13:M15">
    <cfRule type="cellIs" dxfId="18" priority="11" operator="equal">
      <formula>"YES"</formula>
    </cfRule>
    <cfRule type="cellIs" dxfId="17" priority="12" operator="equal">
      <formula>"NO"</formula>
    </cfRule>
  </conditionalFormatting>
  <conditionalFormatting sqref="P15">
    <cfRule type="cellIs" dxfId="16" priority="3" operator="equal">
      <formula>"Likely"</formula>
    </cfRule>
    <cfRule type="cellIs" dxfId="15" priority="4" operator="equal">
      <formula>"Possible"</formula>
    </cfRule>
    <cfRule type="cellIs" dxfId="14" priority="5" operator="equal">
      <formula>"Unlikely"</formula>
    </cfRule>
    <cfRule type="cellIs" dxfId="13" priority="6" operator="equal">
      <formula>"Not enough data"</formula>
    </cfRule>
  </conditionalFormatting>
  <conditionalFormatting sqref="P16">
    <cfRule type="containsText" dxfId="12" priority="7" operator="containsText" text="Speak with your doctor">
      <formula>NOT(ISERROR(SEARCH("Speak with your doctor",P16)))</formula>
    </cfRule>
    <cfRule type="containsText" dxfId="11" priority="8" operator="containsText" text="Continue tracking">
      <formula>NOT(ISERROR(SEARCH("Continue tracking",P16)))</formula>
    </cfRule>
    <cfRule type="containsText" dxfId="10" priority="9" operator="containsText" text="No consistent">
      <formula>NOT(ISERROR(SEARCH("No consistent",P16)))</formula>
    </cfRule>
    <cfRule type="containsText" dxfId="9" priority="10" operator="containsText" text="Track at least">
      <formula>NOT(ISERROR(SEARCH("Track at least",P16)))</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3A11E-5A29-DC4D-A41D-7AF32F13F2A4}">
  <sheetPr>
    <tabColor rgb="FFFFBDE8"/>
  </sheetPr>
  <dimension ref="A1:AK200"/>
  <sheetViews>
    <sheetView showGridLines="0" topLeftCell="A39" zoomScale="106" workbookViewId="0">
      <selection activeCell="E4" sqref="E4"/>
    </sheetView>
  </sheetViews>
  <sheetFormatPr baseColWidth="10" defaultRowHeight="13"/>
  <cols>
    <col min="1" max="1" width="5" style="1" customWidth="1"/>
    <col min="2" max="2" width="75" customWidth="1"/>
    <col min="3" max="3" width="5.83203125" style="1" customWidth="1"/>
  </cols>
  <sheetData>
    <row r="1" spans="1:37" ht="62" customHeight="1">
      <c r="A1" s="144"/>
      <c r="B1" s="153" t="s">
        <v>98</v>
      </c>
      <c r="C1" s="144"/>
      <c r="D1" s="136"/>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row>
    <row r="2" spans="1:37" ht="14" customHeight="1">
      <c r="A2" s="144"/>
      <c r="B2" s="144"/>
      <c r="C2" s="144"/>
      <c r="D2" s="136"/>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row>
    <row r="3" spans="1:37" ht="32" customHeight="1">
      <c r="A3" s="144"/>
      <c r="B3" s="145" t="s">
        <v>48</v>
      </c>
      <c r="C3" s="144"/>
      <c r="D3" s="136"/>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row>
    <row r="4" spans="1:37" ht="84" customHeight="1">
      <c r="A4" s="144"/>
      <c r="B4" s="152" t="s">
        <v>34</v>
      </c>
      <c r="C4" s="144"/>
      <c r="D4" s="136"/>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row>
    <row r="5" spans="1:37" ht="12" customHeight="1">
      <c r="A5" s="144"/>
      <c r="B5" s="144"/>
      <c r="C5" s="144"/>
      <c r="D5" s="136"/>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row>
    <row r="6" spans="1:37" ht="32" customHeight="1">
      <c r="A6" s="144"/>
      <c r="B6" s="146" t="s">
        <v>49</v>
      </c>
      <c r="C6" s="144"/>
      <c r="D6" s="136"/>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row>
    <row r="7" spans="1:37" ht="132" customHeight="1">
      <c r="A7" s="144"/>
      <c r="B7" s="152" t="s">
        <v>117</v>
      </c>
      <c r="C7" s="144"/>
      <c r="D7" s="136"/>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row>
    <row r="8" spans="1:37" ht="12" customHeight="1">
      <c r="A8" s="144"/>
      <c r="B8" s="144"/>
      <c r="C8" s="144"/>
      <c r="D8" s="136"/>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row>
    <row r="9" spans="1:37" ht="32" customHeight="1">
      <c r="A9" s="144"/>
      <c r="B9" s="147" t="s">
        <v>113</v>
      </c>
      <c r="C9" s="144"/>
      <c r="D9" s="136"/>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row>
    <row r="10" spans="1:37" ht="160" customHeight="1">
      <c r="A10" s="144"/>
      <c r="B10" s="152" t="s">
        <v>114</v>
      </c>
      <c r="C10" s="144"/>
      <c r="D10" s="136"/>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row>
    <row r="11" spans="1:37" ht="12" customHeight="1">
      <c r="A11" s="144"/>
      <c r="B11" s="144"/>
      <c r="C11" s="144"/>
      <c r="D11" s="136"/>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row>
    <row r="12" spans="1:37" ht="32" customHeight="1">
      <c r="A12" s="144"/>
      <c r="B12" s="148" t="s">
        <v>50</v>
      </c>
      <c r="C12" s="144"/>
      <c r="D12" s="136"/>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row>
    <row r="13" spans="1:37" ht="116" customHeight="1">
      <c r="A13" s="144"/>
      <c r="B13" s="152" t="s">
        <v>115</v>
      </c>
      <c r="C13" s="144"/>
      <c r="D13" s="136"/>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row>
    <row r="14" spans="1:37" ht="12" customHeight="1">
      <c r="A14" s="144"/>
      <c r="B14" s="144"/>
      <c r="C14" s="144"/>
      <c r="D14" s="136"/>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row>
    <row r="15" spans="1:37" ht="32" customHeight="1">
      <c r="A15" s="144"/>
      <c r="B15" s="149" t="s">
        <v>51</v>
      </c>
      <c r="C15" s="144"/>
      <c r="D15" s="136"/>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row>
    <row r="16" spans="1:37" ht="84" customHeight="1">
      <c r="A16" s="144"/>
      <c r="B16" s="152" t="s">
        <v>116</v>
      </c>
      <c r="C16" s="144"/>
      <c r="D16" s="136"/>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row>
    <row r="17" spans="1:37" ht="12" customHeight="1">
      <c r="A17" s="144"/>
      <c r="B17" s="144"/>
      <c r="C17" s="144"/>
      <c r="D17" s="136"/>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row>
    <row r="18" spans="1:37" ht="32" customHeight="1">
      <c r="A18" s="144"/>
      <c r="B18" s="150" t="s">
        <v>52</v>
      </c>
      <c r="C18" s="144"/>
      <c r="D18" s="136"/>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row>
    <row r="19" spans="1:37" ht="100" customHeight="1">
      <c r="A19" s="144"/>
      <c r="B19" s="152" t="s">
        <v>59</v>
      </c>
      <c r="C19" s="144"/>
      <c r="D19" s="136"/>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row>
    <row r="20" spans="1:37" ht="12" customHeight="1">
      <c r="A20" s="144"/>
      <c r="B20" s="144"/>
      <c r="C20" s="144"/>
      <c r="D20" s="136"/>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row>
    <row r="21" spans="1:37" ht="32" customHeight="1">
      <c r="A21" s="144"/>
      <c r="B21" s="151" t="s">
        <v>53</v>
      </c>
      <c r="C21" s="144"/>
      <c r="D21" s="136"/>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row>
    <row r="22" spans="1:37" ht="120" customHeight="1">
      <c r="A22" s="144"/>
      <c r="B22" s="152" t="s">
        <v>73</v>
      </c>
      <c r="C22" s="144"/>
      <c r="D22" s="136"/>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row>
    <row r="23" spans="1:37" ht="12" customHeight="1">
      <c r="A23" s="144"/>
      <c r="B23" s="144"/>
      <c r="C23" s="144"/>
      <c r="D23" s="136"/>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row>
    <row r="24" spans="1:37" ht="32" customHeight="1">
      <c r="A24" s="144"/>
      <c r="B24" s="145" t="s">
        <v>54</v>
      </c>
      <c r="C24" s="144"/>
      <c r="D24" s="136"/>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row>
    <row r="25" spans="1:37" ht="100" customHeight="1">
      <c r="A25" s="144"/>
      <c r="B25" s="152" t="s">
        <v>35</v>
      </c>
      <c r="C25" s="144"/>
      <c r="D25" s="136"/>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row>
    <row r="26" spans="1:37" ht="12" customHeight="1">
      <c r="A26" s="144"/>
      <c r="B26" s="144"/>
      <c r="C26" s="144"/>
      <c r="D26" s="136"/>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row>
    <row r="27" spans="1:37" ht="32" customHeight="1">
      <c r="A27" s="144"/>
      <c r="B27" s="146" t="s">
        <v>55</v>
      </c>
      <c r="C27" s="144"/>
      <c r="D27" s="136"/>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row>
    <row r="28" spans="1:37" ht="132" customHeight="1">
      <c r="A28" s="144"/>
      <c r="B28" s="152" t="s">
        <v>118</v>
      </c>
      <c r="C28" s="144"/>
      <c r="D28" s="136"/>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row>
    <row r="29" spans="1:37" ht="12" customHeight="1">
      <c r="A29" s="144"/>
      <c r="B29" s="144"/>
      <c r="C29" s="144"/>
      <c r="D29" s="136"/>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row>
    <row r="30" spans="1:37" ht="32" customHeight="1">
      <c r="A30" s="144"/>
      <c r="B30" s="147" t="s">
        <v>56</v>
      </c>
      <c r="C30" s="144"/>
      <c r="D30" s="136"/>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row>
    <row r="31" spans="1:37" ht="132" customHeight="1">
      <c r="A31" s="144"/>
      <c r="B31" s="152" t="s">
        <v>119</v>
      </c>
      <c r="C31" s="144"/>
      <c r="D31" s="136"/>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row>
    <row r="32" spans="1:37" ht="12" customHeight="1">
      <c r="A32" s="144"/>
      <c r="B32" s="144"/>
      <c r="C32" s="144"/>
      <c r="D32" s="136"/>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row>
    <row r="33" spans="1:37" ht="32" customHeight="1">
      <c r="A33" s="144"/>
      <c r="B33" s="148" t="s">
        <v>57</v>
      </c>
      <c r="C33" s="144"/>
      <c r="D33" s="136"/>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row>
    <row r="34" spans="1:37" ht="132" customHeight="1">
      <c r="A34" s="144"/>
      <c r="B34" s="152" t="s">
        <v>120</v>
      </c>
      <c r="C34" s="144"/>
      <c r="D34" s="136"/>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row>
    <row r="35" spans="1:37" ht="12" customHeight="1">
      <c r="A35" s="144"/>
      <c r="B35" s="144"/>
      <c r="C35" s="144"/>
      <c r="D35" s="136"/>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row>
    <row r="36" spans="1:37" ht="32" customHeight="1">
      <c r="A36" s="144"/>
      <c r="B36" s="149" t="s">
        <v>58</v>
      </c>
      <c r="C36" s="144"/>
      <c r="D36" s="136"/>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row>
    <row r="37" spans="1:37" ht="132" customHeight="1">
      <c r="A37" s="144"/>
      <c r="B37" s="152" t="s">
        <v>121</v>
      </c>
      <c r="C37" s="144"/>
      <c r="D37" s="136"/>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row>
    <row r="38" spans="1:37" ht="12" customHeight="1">
      <c r="A38" s="144"/>
      <c r="B38" s="144"/>
      <c r="C38" s="144"/>
      <c r="D38" s="136"/>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row>
    <row r="39" spans="1:37" ht="32" customHeight="1">
      <c r="A39" s="144"/>
      <c r="B39" s="150" t="s">
        <v>122</v>
      </c>
      <c r="C39" s="144"/>
      <c r="D39" s="13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row>
    <row r="40" spans="1:37" ht="132" customHeight="1">
      <c r="A40" s="144"/>
      <c r="B40" s="152" t="s">
        <v>123</v>
      </c>
      <c r="C40" s="144"/>
      <c r="D40" s="136"/>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row>
    <row r="41" spans="1:37" ht="12" customHeight="1">
      <c r="A41" s="144"/>
      <c r="B41" s="144"/>
      <c r="C41" s="144"/>
      <c r="D41" s="136"/>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row>
    <row r="42" spans="1:37" ht="32" customHeight="1">
      <c r="A42" s="144"/>
      <c r="B42" s="151" t="s">
        <v>124</v>
      </c>
      <c r="C42" s="144"/>
      <c r="D42" s="136"/>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row>
    <row r="43" spans="1:37" ht="148" customHeight="1">
      <c r="A43" s="144"/>
      <c r="B43" s="152" t="s">
        <v>125</v>
      </c>
      <c r="C43" s="144"/>
      <c r="D43" s="136"/>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row>
    <row r="44" spans="1:37" ht="12" customHeight="1">
      <c r="A44" s="144"/>
      <c r="B44" s="144"/>
      <c r="C44" s="144"/>
      <c r="D44" s="136"/>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row>
    <row r="45" spans="1:37">
      <c r="A45" s="144"/>
      <c r="B45" s="144"/>
      <c r="C45" s="144"/>
      <c r="D45" s="136"/>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row>
    <row r="46" spans="1:37">
      <c r="A46" s="144"/>
      <c r="B46" s="144"/>
      <c r="C46" s="144"/>
      <c r="D46" s="136"/>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row>
    <row r="47" spans="1:37">
      <c r="A47" s="144"/>
      <c r="B47" s="144"/>
      <c r="C47" s="144"/>
      <c r="D47" s="136"/>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row>
    <row r="48" spans="1:37">
      <c r="A48" s="144"/>
      <c r="B48" s="144"/>
      <c r="C48" s="144"/>
      <c r="D48" s="136"/>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row>
    <row r="49" spans="1:37">
      <c r="A49" s="144"/>
      <c r="B49" s="144"/>
      <c r="C49" s="144"/>
      <c r="D49" s="136"/>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row>
    <row r="50" spans="1:37">
      <c r="A50" s="144"/>
      <c r="B50" s="144"/>
      <c r="C50" s="144"/>
      <c r="D50" s="136"/>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row>
    <row r="51" spans="1:37">
      <c r="A51" s="144"/>
      <c r="B51" s="144"/>
      <c r="C51" s="144"/>
      <c r="D51" s="136"/>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row>
    <row r="52" spans="1:37">
      <c r="A52" s="144"/>
      <c r="B52" s="144"/>
      <c r="C52" s="144"/>
      <c r="D52" s="136"/>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row>
    <row r="53" spans="1:37">
      <c r="A53" s="144"/>
      <c r="B53" s="144"/>
      <c r="C53" s="144"/>
      <c r="D53" s="136"/>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row>
    <row r="54" spans="1:37">
      <c r="A54" s="144"/>
      <c r="B54" s="144"/>
      <c r="C54" s="144"/>
      <c r="D54" s="136"/>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row>
    <row r="55" spans="1:37">
      <c r="A55" s="144"/>
      <c r="B55" s="144"/>
      <c r="C55" s="144"/>
      <c r="D55" s="136"/>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row>
    <row r="56" spans="1:37">
      <c r="A56" s="144"/>
      <c r="B56" s="144"/>
      <c r="C56" s="144"/>
      <c r="D56" s="136"/>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row>
    <row r="57" spans="1:37">
      <c r="A57" s="144"/>
      <c r="B57" s="144"/>
      <c r="C57" s="144"/>
      <c r="D57" s="136"/>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row>
    <row r="58" spans="1:37">
      <c r="A58" s="144"/>
      <c r="B58" s="144"/>
      <c r="C58" s="144"/>
      <c r="D58" s="136"/>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row>
    <row r="59" spans="1:37">
      <c r="A59" s="144"/>
      <c r="B59" s="144"/>
      <c r="C59" s="144"/>
      <c r="D59" s="136"/>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row>
    <row r="60" spans="1:37">
      <c r="A60" s="144"/>
      <c r="B60" s="144"/>
      <c r="C60" s="144"/>
      <c r="D60" s="136"/>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row>
    <row r="61" spans="1:37">
      <c r="A61" s="136"/>
      <c r="B61" s="136"/>
      <c r="C61" s="136"/>
      <c r="D61" s="136"/>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row>
    <row r="62" spans="1:37">
      <c r="A62" s="136"/>
      <c r="B62" s="136"/>
      <c r="C62" s="136"/>
      <c r="D62" s="136"/>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row>
    <row r="63" spans="1:37">
      <c r="A63" s="136"/>
      <c r="B63" s="136"/>
      <c r="C63" s="136"/>
      <c r="D63" s="136"/>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row>
    <row r="64" spans="1:37">
      <c r="A64" s="136"/>
      <c r="B64" s="136"/>
      <c r="C64" s="136"/>
      <c r="D64" s="136"/>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row>
    <row r="65" spans="1:37">
      <c r="A65" s="136"/>
      <c r="B65" s="136"/>
      <c r="C65" s="136"/>
      <c r="D65" s="136"/>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row>
    <row r="66" spans="1:37">
      <c r="A66" s="136"/>
      <c r="B66" s="136"/>
      <c r="C66" s="136"/>
      <c r="D66" s="136"/>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row>
    <row r="67" spans="1:37">
      <c r="A67" s="136"/>
      <c r="B67" s="136"/>
      <c r="C67" s="136"/>
      <c r="D67" s="136"/>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row>
    <row r="68" spans="1:37">
      <c r="A68" s="136"/>
      <c r="B68" s="136"/>
      <c r="C68" s="136"/>
      <c r="D68" s="136"/>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row>
    <row r="69" spans="1:37">
      <c r="A69" s="136"/>
      <c r="B69" s="136"/>
      <c r="C69" s="136"/>
      <c r="D69" s="136"/>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row>
    <row r="70" spans="1:37">
      <c r="A70" s="136"/>
      <c r="B70" s="136"/>
      <c r="C70" s="136"/>
      <c r="D70" s="136"/>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row>
    <row r="71" spans="1:37">
      <c r="A71" s="136"/>
      <c r="B71" s="136"/>
      <c r="C71" s="136"/>
      <c r="D71" s="136"/>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row>
    <row r="72" spans="1:37">
      <c r="A72" s="136"/>
      <c r="B72" s="136"/>
      <c r="C72" s="136"/>
      <c r="D72" s="136"/>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row>
    <row r="73" spans="1:37">
      <c r="A73" s="136"/>
      <c r="B73" s="136"/>
      <c r="C73" s="136"/>
      <c r="D73" s="136"/>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row>
    <row r="74" spans="1:37">
      <c r="A74" s="136"/>
      <c r="B74" s="136"/>
      <c r="C74" s="136"/>
      <c r="D74" s="136"/>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row>
    <row r="75" spans="1:37">
      <c r="A75" s="136"/>
      <c r="B75" s="136"/>
      <c r="C75" s="136"/>
      <c r="D75" s="136"/>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row>
    <row r="76" spans="1:37">
      <c r="A76" s="136"/>
      <c r="B76" s="136"/>
      <c r="C76" s="136"/>
      <c r="D76" s="136"/>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row>
    <row r="77" spans="1:37">
      <c r="A77" s="136"/>
      <c r="B77" s="136"/>
      <c r="C77" s="136"/>
      <c r="D77" s="136"/>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row>
    <row r="78" spans="1:37">
      <c r="A78" s="136"/>
      <c r="B78" s="136"/>
      <c r="C78" s="136"/>
      <c r="D78" s="136"/>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row>
    <row r="79" spans="1:37">
      <c r="A79" s="136"/>
      <c r="B79" s="136"/>
      <c r="C79" s="136"/>
      <c r="D79" s="136"/>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row>
    <row r="80" spans="1:37">
      <c r="A80" s="136"/>
      <c r="B80" s="136"/>
      <c r="C80" s="136"/>
      <c r="D80" s="136"/>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row>
    <row r="81" spans="1:4">
      <c r="A81" s="117"/>
      <c r="B81" s="117"/>
      <c r="C81" s="117"/>
      <c r="D81" s="117"/>
    </row>
    <row r="82" spans="1:4">
      <c r="A82" s="117"/>
      <c r="B82" s="117"/>
      <c r="C82" s="117"/>
      <c r="D82" s="117"/>
    </row>
    <row r="83" spans="1:4">
      <c r="A83" s="117"/>
      <c r="B83" s="117"/>
      <c r="C83" s="117"/>
      <c r="D83" s="117"/>
    </row>
    <row r="84" spans="1:4">
      <c r="A84" s="117"/>
      <c r="B84" s="117"/>
      <c r="C84" s="117"/>
      <c r="D84" s="117"/>
    </row>
    <row r="85" spans="1:4">
      <c r="A85" s="117"/>
      <c r="B85" s="117"/>
      <c r="C85" s="117"/>
      <c r="D85" s="117"/>
    </row>
    <row r="86" spans="1:4">
      <c r="A86" s="117"/>
      <c r="B86" s="117"/>
      <c r="C86" s="117"/>
      <c r="D86" s="117"/>
    </row>
    <row r="87" spans="1:4">
      <c r="A87" s="117"/>
      <c r="B87" s="117"/>
      <c r="C87" s="117"/>
      <c r="D87" s="117"/>
    </row>
    <row r="88" spans="1:4">
      <c r="A88" s="117"/>
      <c r="B88" s="117"/>
      <c r="C88" s="117"/>
      <c r="D88" s="117"/>
    </row>
    <row r="89" spans="1:4">
      <c r="A89" s="117"/>
      <c r="B89" s="117"/>
      <c r="C89" s="117"/>
      <c r="D89" s="117"/>
    </row>
    <row r="90" spans="1:4">
      <c r="A90" s="117"/>
      <c r="B90" s="117"/>
      <c r="C90" s="117"/>
      <c r="D90" s="117"/>
    </row>
    <row r="91" spans="1:4">
      <c r="A91" s="117"/>
      <c r="B91" s="117"/>
      <c r="C91" s="117"/>
      <c r="D91" s="117"/>
    </row>
    <row r="92" spans="1:4">
      <c r="A92" s="117"/>
      <c r="B92" s="117"/>
      <c r="C92" s="117"/>
      <c r="D92" s="117"/>
    </row>
    <row r="93" spans="1:4">
      <c r="A93" s="117"/>
      <c r="B93" s="117"/>
      <c r="C93" s="117"/>
      <c r="D93" s="117"/>
    </row>
    <row r="94" spans="1:4">
      <c r="A94" s="117"/>
      <c r="B94" s="117"/>
      <c r="C94" s="117"/>
      <c r="D94" s="117"/>
    </row>
    <row r="95" spans="1:4">
      <c r="A95" s="117"/>
      <c r="B95" s="117"/>
      <c r="C95" s="117"/>
      <c r="D95" s="117"/>
    </row>
    <row r="96" spans="1:4">
      <c r="A96" s="117"/>
      <c r="B96" s="117"/>
      <c r="C96" s="117"/>
      <c r="D96" s="117"/>
    </row>
    <row r="97" spans="1:4">
      <c r="A97" s="117"/>
      <c r="B97" s="117"/>
      <c r="C97" s="117"/>
      <c r="D97" s="117"/>
    </row>
    <row r="98" spans="1:4">
      <c r="A98" s="117"/>
      <c r="B98" s="117"/>
      <c r="C98" s="117"/>
      <c r="D98" s="117"/>
    </row>
    <row r="99" spans="1:4">
      <c r="A99" s="117"/>
      <c r="B99" s="117"/>
      <c r="C99" s="117"/>
      <c r="D99" s="117"/>
    </row>
    <row r="100" spans="1:4">
      <c r="A100" s="117"/>
      <c r="B100" s="117"/>
      <c r="C100" s="117"/>
      <c r="D100" s="117"/>
    </row>
    <row r="101" spans="1:4">
      <c r="A101" s="117"/>
      <c r="B101" s="117"/>
      <c r="C101" s="117"/>
      <c r="D101" s="117"/>
    </row>
    <row r="102" spans="1:4">
      <c r="A102" s="117"/>
      <c r="B102" s="117"/>
      <c r="C102" s="117"/>
      <c r="D102" s="117"/>
    </row>
    <row r="103" spans="1:4">
      <c r="A103" s="117"/>
      <c r="B103" s="117"/>
      <c r="C103" s="117"/>
      <c r="D103" s="117"/>
    </row>
    <row r="104" spans="1:4">
      <c r="A104" s="117"/>
      <c r="B104" s="117"/>
      <c r="C104" s="117"/>
      <c r="D104" s="117"/>
    </row>
    <row r="105" spans="1:4">
      <c r="A105" s="117"/>
      <c r="B105" s="117"/>
      <c r="C105" s="117"/>
      <c r="D105" s="117"/>
    </row>
    <row r="106" spans="1:4">
      <c r="A106" s="117"/>
      <c r="B106" s="117"/>
      <c r="C106" s="117"/>
      <c r="D106" s="117"/>
    </row>
    <row r="107" spans="1:4">
      <c r="A107" s="117"/>
      <c r="B107" s="117"/>
      <c r="C107" s="117"/>
      <c r="D107" s="117"/>
    </row>
    <row r="108" spans="1:4">
      <c r="A108" s="117"/>
      <c r="B108" s="117"/>
      <c r="C108" s="117"/>
      <c r="D108" s="117"/>
    </row>
    <row r="109" spans="1:4">
      <c r="A109" s="117"/>
      <c r="B109" s="117"/>
      <c r="C109" s="117"/>
      <c r="D109" s="117"/>
    </row>
    <row r="110" spans="1:4">
      <c r="A110" s="117"/>
      <c r="B110" s="117"/>
      <c r="C110" s="117"/>
      <c r="D110" s="117"/>
    </row>
    <row r="111" spans="1:4">
      <c r="A111" s="117"/>
      <c r="B111" s="117"/>
      <c r="C111" s="117"/>
      <c r="D111" s="117"/>
    </row>
    <row r="112" spans="1:4">
      <c r="A112" s="117"/>
      <c r="B112" s="117"/>
      <c r="C112" s="117"/>
      <c r="D112" s="117"/>
    </row>
    <row r="113" spans="1:4">
      <c r="A113" s="117"/>
      <c r="B113" s="117"/>
      <c r="C113" s="117"/>
      <c r="D113" s="117"/>
    </row>
    <row r="114" spans="1:4">
      <c r="A114" s="117"/>
      <c r="B114" s="117"/>
      <c r="C114" s="117"/>
      <c r="D114" s="117"/>
    </row>
    <row r="115" spans="1:4">
      <c r="A115" s="117"/>
      <c r="B115" s="117"/>
      <c r="C115" s="117"/>
      <c r="D115" s="117"/>
    </row>
    <row r="116" spans="1:4">
      <c r="A116" s="117"/>
      <c r="B116" s="117"/>
      <c r="C116" s="117"/>
      <c r="D116" s="117"/>
    </row>
    <row r="117" spans="1:4">
      <c r="A117" s="117"/>
      <c r="B117" s="117"/>
      <c r="C117" s="117"/>
      <c r="D117" s="117"/>
    </row>
    <row r="118" spans="1:4">
      <c r="A118" s="117"/>
      <c r="B118" s="117"/>
      <c r="C118" s="117"/>
      <c r="D118" s="117"/>
    </row>
    <row r="119" spans="1:4">
      <c r="A119" s="117"/>
      <c r="B119" s="117"/>
      <c r="C119" s="117"/>
      <c r="D119" s="117"/>
    </row>
    <row r="120" spans="1:4">
      <c r="A120" s="117"/>
      <c r="B120" s="117"/>
      <c r="C120" s="117"/>
      <c r="D120" s="117"/>
    </row>
    <row r="121" spans="1:4">
      <c r="A121" s="117"/>
      <c r="B121" s="117"/>
      <c r="C121" s="117"/>
      <c r="D121" s="117"/>
    </row>
    <row r="122" spans="1:4">
      <c r="A122" s="117"/>
      <c r="B122" s="117"/>
      <c r="C122" s="117"/>
      <c r="D122" s="117"/>
    </row>
    <row r="123" spans="1:4">
      <c r="A123" s="117"/>
      <c r="B123" s="117"/>
      <c r="C123" s="117"/>
      <c r="D123" s="117"/>
    </row>
    <row r="124" spans="1:4">
      <c r="A124" s="117"/>
      <c r="B124" s="117"/>
      <c r="C124" s="117"/>
      <c r="D124" s="117"/>
    </row>
    <row r="125" spans="1:4">
      <c r="A125" s="117"/>
      <c r="B125" s="117"/>
      <c r="C125" s="117"/>
      <c r="D125" s="117"/>
    </row>
    <row r="126" spans="1:4">
      <c r="A126" s="117"/>
      <c r="B126" s="117"/>
      <c r="C126" s="117"/>
      <c r="D126" s="117"/>
    </row>
    <row r="127" spans="1:4">
      <c r="A127" s="117"/>
      <c r="B127" s="117"/>
      <c r="C127" s="117"/>
      <c r="D127" s="117"/>
    </row>
    <row r="128" spans="1:4">
      <c r="A128" s="117"/>
      <c r="B128" s="117"/>
      <c r="C128" s="117"/>
      <c r="D128" s="117"/>
    </row>
    <row r="129" spans="1:4">
      <c r="A129" s="117"/>
      <c r="B129" s="117"/>
      <c r="C129" s="117"/>
      <c r="D129" s="117"/>
    </row>
    <row r="130" spans="1:4">
      <c r="A130" s="117"/>
      <c r="B130" s="117"/>
      <c r="C130" s="117"/>
      <c r="D130" s="117"/>
    </row>
    <row r="131" spans="1:4">
      <c r="A131" s="117"/>
      <c r="B131" s="117"/>
      <c r="C131" s="117"/>
      <c r="D131" s="117"/>
    </row>
    <row r="132" spans="1:4">
      <c r="A132" s="117"/>
      <c r="B132" s="117"/>
      <c r="C132" s="117"/>
      <c r="D132" s="117"/>
    </row>
    <row r="133" spans="1:4">
      <c r="A133" s="117"/>
      <c r="B133" s="117"/>
      <c r="C133" s="117"/>
      <c r="D133" s="117"/>
    </row>
    <row r="134" spans="1:4">
      <c r="A134" s="117"/>
      <c r="B134" s="117"/>
      <c r="C134" s="117"/>
      <c r="D134" s="117"/>
    </row>
    <row r="135" spans="1:4">
      <c r="A135" s="117"/>
      <c r="B135" s="117"/>
      <c r="C135" s="117"/>
      <c r="D135" s="117"/>
    </row>
    <row r="136" spans="1:4">
      <c r="A136" s="117"/>
      <c r="B136" s="117"/>
      <c r="C136" s="117"/>
      <c r="D136" s="117"/>
    </row>
    <row r="137" spans="1:4">
      <c r="A137" s="117"/>
      <c r="B137" s="117"/>
      <c r="C137" s="117"/>
      <c r="D137" s="117"/>
    </row>
    <row r="138" spans="1:4">
      <c r="A138" s="117"/>
      <c r="B138" s="117"/>
      <c r="C138" s="117"/>
      <c r="D138" s="117"/>
    </row>
    <row r="139" spans="1:4">
      <c r="A139" s="117"/>
      <c r="B139" s="117"/>
      <c r="C139" s="117"/>
      <c r="D139" s="117"/>
    </row>
    <row r="140" spans="1:4">
      <c r="A140" s="117"/>
      <c r="B140" s="117"/>
      <c r="C140" s="117"/>
      <c r="D140" s="117"/>
    </row>
    <row r="141" spans="1:4">
      <c r="A141" s="117"/>
      <c r="B141" s="117"/>
      <c r="C141" s="117"/>
      <c r="D141" s="117"/>
    </row>
    <row r="142" spans="1:4">
      <c r="A142" s="117"/>
      <c r="B142" s="117"/>
      <c r="C142" s="117"/>
      <c r="D142" s="117"/>
    </row>
    <row r="143" spans="1:4">
      <c r="A143" s="117"/>
      <c r="B143" s="117"/>
      <c r="C143" s="117"/>
      <c r="D143" s="117"/>
    </row>
    <row r="144" spans="1:4">
      <c r="A144" s="117"/>
      <c r="B144" s="117"/>
      <c r="C144" s="117"/>
      <c r="D144" s="117"/>
    </row>
    <row r="145" spans="1:4">
      <c r="A145" s="117"/>
      <c r="B145" s="117"/>
      <c r="C145" s="117"/>
      <c r="D145" s="117"/>
    </row>
    <row r="146" spans="1:4">
      <c r="A146" s="117"/>
      <c r="B146" s="117"/>
      <c r="C146" s="117"/>
      <c r="D146" s="117"/>
    </row>
    <row r="147" spans="1:4">
      <c r="A147" s="117"/>
      <c r="B147" s="117"/>
      <c r="C147" s="117"/>
      <c r="D147" s="117"/>
    </row>
    <row r="148" spans="1:4">
      <c r="A148" s="117"/>
      <c r="B148" s="117"/>
      <c r="C148" s="117"/>
      <c r="D148" s="117"/>
    </row>
    <row r="149" spans="1:4">
      <c r="A149" s="117"/>
      <c r="B149" s="117"/>
      <c r="C149" s="117"/>
      <c r="D149" s="117"/>
    </row>
    <row r="150" spans="1:4">
      <c r="A150" s="117"/>
      <c r="B150" s="117"/>
      <c r="C150" s="117"/>
      <c r="D150" s="117"/>
    </row>
    <row r="151" spans="1:4">
      <c r="A151" s="117"/>
      <c r="B151" s="117"/>
      <c r="C151" s="117"/>
      <c r="D151" s="117"/>
    </row>
    <row r="152" spans="1:4">
      <c r="A152" s="117"/>
      <c r="B152" s="117"/>
      <c r="C152" s="117"/>
      <c r="D152" s="117"/>
    </row>
    <row r="153" spans="1:4">
      <c r="A153" s="117"/>
      <c r="B153" s="117"/>
      <c r="C153" s="117"/>
      <c r="D153" s="117"/>
    </row>
    <row r="154" spans="1:4">
      <c r="A154" s="117"/>
      <c r="B154" s="117"/>
      <c r="C154" s="117"/>
      <c r="D154" s="117"/>
    </row>
    <row r="155" spans="1:4">
      <c r="A155" s="117"/>
      <c r="B155" s="117"/>
      <c r="C155" s="117"/>
      <c r="D155" s="117"/>
    </row>
    <row r="156" spans="1:4">
      <c r="A156" s="117"/>
      <c r="B156" s="117"/>
      <c r="C156" s="117"/>
      <c r="D156" s="117"/>
    </row>
    <row r="157" spans="1:4">
      <c r="A157" s="117"/>
      <c r="B157" s="117"/>
      <c r="C157" s="117"/>
      <c r="D157" s="117"/>
    </row>
    <row r="158" spans="1:4">
      <c r="A158" s="117"/>
      <c r="B158" s="117"/>
      <c r="C158" s="117"/>
      <c r="D158" s="117"/>
    </row>
    <row r="159" spans="1:4">
      <c r="A159" s="117"/>
      <c r="B159" s="117"/>
      <c r="C159" s="117"/>
      <c r="D159" s="117"/>
    </row>
    <row r="160" spans="1:4">
      <c r="A160" s="117"/>
      <c r="B160" s="117"/>
      <c r="C160" s="117"/>
      <c r="D160" s="117"/>
    </row>
    <row r="161" spans="1:4">
      <c r="A161" s="117"/>
      <c r="B161" s="117"/>
      <c r="C161" s="117"/>
      <c r="D161" s="117"/>
    </row>
    <row r="162" spans="1:4">
      <c r="A162" s="117"/>
      <c r="B162" s="117"/>
      <c r="C162" s="117"/>
      <c r="D162" s="117"/>
    </row>
    <row r="163" spans="1:4">
      <c r="A163" s="117"/>
      <c r="B163" s="117"/>
      <c r="C163" s="117"/>
      <c r="D163" s="117"/>
    </row>
    <row r="164" spans="1:4">
      <c r="A164" s="117"/>
      <c r="B164" s="117"/>
      <c r="C164" s="117"/>
      <c r="D164" s="117"/>
    </row>
    <row r="165" spans="1:4">
      <c r="A165" s="117"/>
      <c r="B165" s="117"/>
      <c r="C165" s="117"/>
      <c r="D165" s="117"/>
    </row>
    <row r="166" spans="1:4">
      <c r="A166" s="117"/>
      <c r="B166" s="117"/>
      <c r="C166" s="117"/>
      <c r="D166" s="117"/>
    </row>
    <row r="167" spans="1:4">
      <c r="A167" s="117"/>
      <c r="B167" s="117"/>
      <c r="C167" s="117"/>
      <c r="D167" s="117"/>
    </row>
    <row r="168" spans="1:4">
      <c r="A168" s="117"/>
      <c r="B168" s="117"/>
      <c r="C168" s="117"/>
      <c r="D168" s="117"/>
    </row>
    <row r="169" spans="1:4">
      <c r="A169" s="117"/>
      <c r="B169" s="117"/>
      <c r="C169" s="117"/>
      <c r="D169" s="117"/>
    </row>
    <row r="170" spans="1:4">
      <c r="A170" s="117"/>
      <c r="B170" s="117"/>
      <c r="C170" s="117"/>
      <c r="D170" s="117"/>
    </row>
    <row r="171" spans="1:4">
      <c r="A171" s="117"/>
      <c r="B171" s="117"/>
      <c r="C171" s="117"/>
      <c r="D171" s="117"/>
    </row>
    <row r="172" spans="1:4">
      <c r="A172" s="117"/>
      <c r="B172" s="117"/>
      <c r="C172" s="117"/>
      <c r="D172" s="117"/>
    </row>
    <row r="173" spans="1:4">
      <c r="A173" s="117"/>
      <c r="B173" s="117"/>
      <c r="C173" s="117"/>
      <c r="D173" s="117"/>
    </row>
    <row r="174" spans="1:4">
      <c r="A174" s="117"/>
      <c r="B174" s="117"/>
      <c r="C174" s="117"/>
      <c r="D174" s="117"/>
    </row>
    <row r="175" spans="1:4">
      <c r="A175" s="117"/>
      <c r="B175" s="117"/>
      <c r="C175" s="117"/>
      <c r="D175" s="117"/>
    </row>
    <row r="176" spans="1:4">
      <c r="A176" s="117"/>
      <c r="B176" s="117"/>
      <c r="C176" s="117"/>
      <c r="D176" s="117"/>
    </row>
    <row r="177" spans="1:4">
      <c r="A177" s="117"/>
      <c r="B177" s="117"/>
      <c r="C177" s="117"/>
      <c r="D177" s="117"/>
    </row>
    <row r="178" spans="1:4">
      <c r="A178" s="117"/>
      <c r="B178" s="117"/>
      <c r="C178" s="117"/>
      <c r="D178" s="117"/>
    </row>
    <row r="179" spans="1:4">
      <c r="A179" s="117"/>
      <c r="B179" s="117"/>
      <c r="C179" s="117"/>
      <c r="D179" s="117"/>
    </row>
    <row r="180" spans="1:4">
      <c r="A180" s="117"/>
      <c r="B180" s="117"/>
      <c r="C180" s="117"/>
      <c r="D180" s="117"/>
    </row>
    <row r="181" spans="1:4">
      <c r="A181" s="117"/>
      <c r="B181" s="117"/>
      <c r="C181" s="117"/>
      <c r="D181" s="117"/>
    </row>
    <row r="182" spans="1:4">
      <c r="A182" s="117"/>
      <c r="B182" s="117"/>
      <c r="C182" s="117"/>
      <c r="D182" s="117"/>
    </row>
    <row r="183" spans="1:4">
      <c r="A183" s="117"/>
      <c r="B183" s="117"/>
      <c r="C183" s="117"/>
      <c r="D183" s="117"/>
    </row>
    <row r="184" spans="1:4">
      <c r="A184" s="117"/>
      <c r="B184" s="117"/>
      <c r="C184" s="117"/>
      <c r="D184" s="117"/>
    </row>
    <row r="185" spans="1:4">
      <c r="A185" s="117"/>
      <c r="B185" s="117"/>
      <c r="C185" s="117"/>
      <c r="D185" s="117"/>
    </row>
    <row r="186" spans="1:4">
      <c r="A186" s="117"/>
      <c r="B186" s="117"/>
      <c r="C186" s="117"/>
      <c r="D186" s="117"/>
    </row>
    <row r="187" spans="1:4">
      <c r="A187" s="117"/>
      <c r="B187" s="117"/>
      <c r="C187" s="117"/>
      <c r="D187" s="117"/>
    </row>
    <row r="188" spans="1:4">
      <c r="A188" s="117"/>
      <c r="B188" s="117"/>
      <c r="C188" s="117"/>
      <c r="D188" s="117"/>
    </row>
    <row r="189" spans="1:4">
      <c r="A189" s="117"/>
      <c r="B189" s="117"/>
      <c r="C189" s="117"/>
      <c r="D189" s="117"/>
    </row>
    <row r="190" spans="1:4">
      <c r="A190" s="117"/>
      <c r="B190" s="117"/>
      <c r="C190" s="117"/>
      <c r="D190" s="117"/>
    </row>
    <row r="191" spans="1:4">
      <c r="A191" s="117"/>
      <c r="B191" s="117"/>
      <c r="C191" s="117"/>
      <c r="D191" s="117"/>
    </row>
    <row r="192" spans="1:4">
      <c r="A192" s="117"/>
      <c r="B192" s="117"/>
      <c r="C192" s="117"/>
      <c r="D192" s="117"/>
    </row>
    <row r="193" spans="1:4">
      <c r="A193" s="117"/>
      <c r="B193" s="117"/>
      <c r="C193" s="117"/>
      <c r="D193" s="117"/>
    </row>
    <row r="194" spans="1:4">
      <c r="A194" s="117"/>
      <c r="B194" s="117"/>
      <c r="C194" s="117"/>
      <c r="D194" s="117"/>
    </row>
    <row r="195" spans="1:4">
      <c r="A195" s="117"/>
      <c r="B195" s="117"/>
      <c r="C195" s="117"/>
      <c r="D195" s="117"/>
    </row>
    <row r="196" spans="1:4">
      <c r="A196" s="117"/>
      <c r="B196" s="117"/>
      <c r="C196" s="117"/>
      <c r="D196" s="117"/>
    </row>
    <row r="197" spans="1:4">
      <c r="A197" s="117"/>
      <c r="B197" s="117"/>
      <c r="C197" s="117"/>
      <c r="D197" s="117"/>
    </row>
    <row r="198" spans="1:4">
      <c r="A198" s="117"/>
      <c r="B198" s="117"/>
      <c r="C198" s="117"/>
      <c r="D198" s="117"/>
    </row>
    <row r="199" spans="1:4">
      <c r="A199" s="117"/>
      <c r="B199" s="117"/>
      <c r="C199" s="117"/>
      <c r="D199" s="117"/>
    </row>
    <row r="200" spans="1:4">
      <c r="A200" s="117"/>
      <c r="B200" s="117"/>
      <c r="C200" s="117"/>
      <c r="D200" s="11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37DC-DD88-7A4C-A577-C4DCB9AF3E9E}">
  <sheetPr>
    <tabColor rgb="FFFFDE94"/>
  </sheetPr>
  <dimension ref="A1:AK80"/>
  <sheetViews>
    <sheetView showGridLines="0" workbookViewId="0">
      <selection activeCell="F14" sqref="F14"/>
    </sheetView>
  </sheetViews>
  <sheetFormatPr baseColWidth="10" defaultRowHeight="13"/>
  <cols>
    <col min="1" max="1" width="6.6640625" customWidth="1"/>
    <col min="2" max="2" width="83.33203125" customWidth="1"/>
    <col min="3" max="3" width="6.6640625" customWidth="1"/>
    <col min="4" max="4" width="10.83203125" style="1"/>
  </cols>
  <sheetData>
    <row r="1" spans="1:37" ht="59" customHeight="1">
      <c r="A1" s="144"/>
      <c r="B1" s="154" t="s">
        <v>99</v>
      </c>
      <c r="C1" s="144"/>
      <c r="D1" s="91"/>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row>
    <row r="2" spans="1:37" ht="10" customHeight="1">
      <c r="A2" s="51"/>
      <c r="B2" s="51"/>
      <c r="C2" s="51"/>
      <c r="D2" s="91"/>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row>
    <row r="3" spans="1:37" ht="40" customHeight="1">
      <c r="A3" s="51"/>
      <c r="B3" s="53" t="s">
        <v>134</v>
      </c>
      <c r="C3" s="51"/>
      <c r="D3" s="91"/>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row>
    <row r="4" spans="1:37" ht="6" customHeight="1">
      <c r="A4" s="51"/>
      <c r="B4" s="51"/>
      <c r="C4" s="51"/>
      <c r="D4" s="91"/>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row>
    <row r="5" spans="1:37" ht="28" customHeight="1">
      <c r="A5" s="51"/>
      <c r="B5" s="54" t="s">
        <v>36</v>
      </c>
      <c r="C5" s="51"/>
      <c r="D5" s="91"/>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row>
    <row r="6" spans="1:37" ht="6" customHeight="1">
      <c r="A6" s="51"/>
      <c r="B6" s="51"/>
      <c r="C6" s="51"/>
      <c r="D6" s="91"/>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row>
    <row r="7" spans="1:37" ht="24" customHeight="1">
      <c r="A7" s="51"/>
      <c r="B7" s="55" t="s">
        <v>37</v>
      </c>
      <c r="C7" s="51"/>
      <c r="D7" s="91"/>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row>
    <row r="8" spans="1:37" ht="70" customHeight="1">
      <c r="A8" s="51"/>
      <c r="B8" s="53" t="s">
        <v>135</v>
      </c>
      <c r="C8" s="51"/>
      <c r="D8" s="91"/>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row>
    <row r="9" spans="1:37" ht="6" customHeight="1">
      <c r="A9" s="51"/>
      <c r="B9" s="51"/>
      <c r="C9" s="51"/>
      <c r="D9" s="91"/>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row>
    <row r="10" spans="1:37" ht="24" customHeight="1">
      <c r="A10" s="51"/>
      <c r="B10" s="55" t="s">
        <v>38</v>
      </c>
      <c r="C10" s="51"/>
      <c r="D10" s="91"/>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row>
    <row r="11" spans="1:37" ht="60" customHeight="1">
      <c r="A11" s="51"/>
      <c r="B11" s="53" t="s">
        <v>136</v>
      </c>
      <c r="C11" s="51"/>
      <c r="D11" s="91"/>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row>
    <row r="12" spans="1:37" ht="6" customHeight="1">
      <c r="A12" s="51"/>
      <c r="B12" s="51"/>
      <c r="C12" s="51"/>
      <c r="D12" s="91"/>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row>
    <row r="13" spans="1:37" ht="24" customHeight="1">
      <c r="A13" s="51"/>
      <c r="B13" s="55" t="s">
        <v>39</v>
      </c>
      <c r="C13" s="51"/>
      <c r="D13" s="91"/>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row>
    <row r="14" spans="1:37" ht="55" customHeight="1">
      <c r="A14" s="51"/>
      <c r="B14" s="53" t="s">
        <v>137</v>
      </c>
      <c r="C14" s="51"/>
      <c r="D14" s="91"/>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row>
    <row r="15" spans="1:37" ht="6" customHeight="1">
      <c r="A15" s="51"/>
      <c r="B15" s="51"/>
      <c r="C15" s="51"/>
      <c r="D15" s="91"/>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row>
    <row r="16" spans="1:37" ht="28" customHeight="1">
      <c r="A16" s="51"/>
      <c r="B16" s="56" t="s">
        <v>40</v>
      </c>
      <c r="C16" s="51"/>
      <c r="D16" s="91"/>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row>
    <row r="17" spans="1:37" ht="6" customHeight="1">
      <c r="A17" s="51"/>
      <c r="B17" s="51"/>
      <c r="C17" s="51"/>
      <c r="D17" s="91"/>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row>
    <row r="18" spans="1:37" ht="24" customHeight="1">
      <c r="A18" s="51"/>
      <c r="B18" s="55" t="s">
        <v>41</v>
      </c>
      <c r="C18" s="51"/>
      <c r="D18" s="91"/>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row>
    <row r="19" spans="1:37" ht="80" customHeight="1">
      <c r="A19" s="51"/>
      <c r="B19" s="53" t="s">
        <v>138</v>
      </c>
      <c r="C19" s="51"/>
      <c r="D19" s="91"/>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row>
    <row r="20" spans="1:37" ht="6" customHeight="1">
      <c r="A20" s="51"/>
      <c r="B20" s="51"/>
      <c r="C20" s="51"/>
      <c r="D20" s="91"/>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row>
    <row r="21" spans="1:37" ht="24" customHeight="1">
      <c r="A21" s="51"/>
      <c r="B21" s="55" t="s">
        <v>42</v>
      </c>
      <c r="C21" s="51"/>
      <c r="D21" s="91"/>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row>
    <row r="22" spans="1:37" ht="100" customHeight="1">
      <c r="A22" s="51"/>
      <c r="B22" s="53" t="s">
        <v>139</v>
      </c>
      <c r="C22" s="51"/>
      <c r="D22" s="91"/>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row>
    <row r="23" spans="1:37" ht="6" customHeight="1">
      <c r="A23" s="51"/>
      <c r="B23" s="51"/>
      <c r="C23" s="51"/>
      <c r="D23" s="91"/>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row>
    <row r="24" spans="1:37" ht="24" customHeight="1">
      <c r="A24" s="51"/>
      <c r="B24" s="55" t="s">
        <v>43</v>
      </c>
      <c r="C24" s="51"/>
      <c r="D24" s="91"/>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row>
    <row r="25" spans="1:37" ht="90" customHeight="1">
      <c r="A25" s="51"/>
      <c r="B25" s="53" t="s">
        <v>140</v>
      </c>
      <c r="C25" s="51"/>
      <c r="D25" s="91"/>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row>
    <row r="26" spans="1:37" ht="6" customHeight="1">
      <c r="A26" s="51"/>
      <c r="B26" s="51"/>
      <c r="C26" s="51"/>
      <c r="D26" s="91"/>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row>
    <row r="27" spans="1:37" ht="28" customHeight="1">
      <c r="A27" s="51"/>
      <c r="B27" s="57" t="s">
        <v>44</v>
      </c>
      <c r="C27" s="51"/>
      <c r="D27" s="91"/>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row>
    <row r="28" spans="1:37" ht="6" customHeight="1">
      <c r="A28" s="51"/>
      <c r="B28" s="51"/>
      <c r="C28" s="51"/>
      <c r="D28" s="91"/>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row>
    <row r="29" spans="1:37" ht="24" customHeight="1">
      <c r="A29" s="51"/>
      <c r="B29" s="55" t="s">
        <v>141</v>
      </c>
      <c r="C29" s="51"/>
      <c r="D29" s="91"/>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row>
    <row r="30" spans="1:37" ht="100" customHeight="1">
      <c r="A30" s="51"/>
      <c r="B30" s="53" t="s">
        <v>142</v>
      </c>
      <c r="C30" s="51"/>
      <c r="D30" s="91"/>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row>
    <row r="31" spans="1:37" ht="6" customHeight="1">
      <c r="A31" s="51"/>
      <c r="B31" s="51"/>
      <c r="C31" s="51"/>
      <c r="D31" s="91"/>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row>
    <row r="32" spans="1:37" ht="28" customHeight="1">
      <c r="A32" s="51"/>
      <c r="B32" s="54" t="s">
        <v>45</v>
      </c>
      <c r="C32" s="51"/>
      <c r="D32" s="91"/>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row>
    <row r="33" spans="1:37" ht="6" customHeight="1">
      <c r="A33" s="51"/>
      <c r="B33" s="51"/>
      <c r="C33" s="51"/>
      <c r="D33" s="91"/>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row>
    <row r="34" spans="1:37" ht="30" customHeight="1">
      <c r="A34" s="51"/>
      <c r="B34" s="53" t="s">
        <v>143</v>
      </c>
      <c r="C34" s="51"/>
      <c r="D34" s="91"/>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row>
    <row r="35" spans="1:37" ht="100" customHeight="1">
      <c r="A35" s="51"/>
      <c r="B35" s="53" t="s">
        <v>144</v>
      </c>
      <c r="C35" s="51"/>
      <c r="D35" s="91"/>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row>
    <row r="36" spans="1:37" ht="6" customHeight="1">
      <c r="A36" s="51"/>
      <c r="B36" s="51"/>
      <c r="C36" s="51"/>
      <c r="D36" s="91"/>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row>
    <row r="37" spans="1:37" ht="28" customHeight="1">
      <c r="A37" s="51"/>
      <c r="B37" s="58" t="s">
        <v>145</v>
      </c>
      <c r="C37" s="51"/>
      <c r="D37" s="91"/>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row>
    <row r="38" spans="1:37" ht="6" customHeight="1">
      <c r="A38" s="51"/>
      <c r="B38" s="51"/>
      <c r="C38" s="51"/>
      <c r="D38" s="91"/>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row>
    <row r="39" spans="1:37" ht="100" customHeight="1">
      <c r="A39" s="51"/>
      <c r="B39" s="53" t="s">
        <v>146</v>
      </c>
      <c r="C39" s="51"/>
      <c r="D39" s="91"/>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row>
    <row r="40" spans="1:37" ht="6" customHeight="1">
      <c r="A40" s="51"/>
      <c r="B40" s="51"/>
      <c r="C40" s="51"/>
      <c r="D40" s="91"/>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row>
    <row r="41" spans="1:37" ht="28" customHeight="1">
      <c r="A41" s="51"/>
      <c r="B41" s="59" t="s">
        <v>46</v>
      </c>
      <c r="C41" s="51"/>
      <c r="D41" s="91"/>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row>
    <row r="42" spans="1:37" ht="6" customHeight="1">
      <c r="A42" s="51"/>
      <c r="B42" s="51"/>
      <c r="C42" s="51"/>
      <c r="D42" s="91"/>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row>
    <row r="43" spans="1:37" ht="80" customHeight="1">
      <c r="A43" s="51"/>
      <c r="B43" s="53" t="s">
        <v>47</v>
      </c>
      <c r="C43" s="51"/>
      <c r="D43" s="91"/>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row>
    <row r="44" spans="1:37" ht="6" customHeight="1">
      <c r="A44" s="51"/>
      <c r="B44" s="51"/>
      <c r="C44" s="51"/>
      <c r="D44" s="91"/>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row>
    <row r="45" spans="1:37" ht="45" customHeight="1">
      <c r="A45" s="51"/>
      <c r="B45" s="60" t="s">
        <v>147</v>
      </c>
      <c r="C45" s="51"/>
      <c r="D45" s="91"/>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row>
    <row r="46" spans="1:37">
      <c r="A46" s="51"/>
      <c r="B46" s="51"/>
      <c r="C46" s="51"/>
      <c r="D46" s="91"/>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row>
    <row r="47" spans="1:37">
      <c r="A47" s="51"/>
      <c r="B47" s="51"/>
      <c r="C47" s="51"/>
      <c r="D47" s="91"/>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row>
    <row r="48" spans="1:37">
      <c r="A48" s="51"/>
      <c r="B48" s="51"/>
      <c r="C48" s="51"/>
      <c r="D48" s="91"/>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row>
    <row r="49" spans="1:37">
      <c r="A49" s="51"/>
      <c r="B49" s="51"/>
      <c r="C49" s="51"/>
      <c r="D49" s="91"/>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row>
    <row r="50" spans="1:37">
      <c r="A50" s="51"/>
      <c r="B50" s="51"/>
      <c r="C50" s="51"/>
      <c r="D50" s="91"/>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row>
    <row r="51" spans="1:37">
      <c r="A51" s="52"/>
      <c r="B51" s="52"/>
      <c r="C51" s="52"/>
      <c r="D51" s="91"/>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row>
    <row r="52" spans="1:37">
      <c r="A52" s="52"/>
      <c r="B52" s="52"/>
      <c r="C52" s="52"/>
      <c r="D52" s="91"/>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row>
    <row r="53" spans="1:37">
      <c r="A53" s="52"/>
      <c r="B53" s="52"/>
      <c r="C53" s="52"/>
      <c r="D53" s="91"/>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row>
    <row r="54" spans="1:37">
      <c r="A54" s="52"/>
      <c r="B54" s="52"/>
      <c r="C54" s="52"/>
      <c r="D54" s="91"/>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row>
    <row r="55" spans="1:37">
      <c r="A55" s="52"/>
      <c r="B55" s="52"/>
      <c r="C55" s="52"/>
      <c r="D55" s="91"/>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row>
    <row r="56" spans="1:37">
      <c r="A56" s="52"/>
      <c r="B56" s="52"/>
      <c r="C56" s="52"/>
      <c r="D56" s="91"/>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row>
    <row r="57" spans="1:37">
      <c r="A57" s="52"/>
      <c r="B57" s="52"/>
      <c r="C57" s="52"/>
      <c r="D57" s="91"/>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row>
    <row r="58" spans="1:37">
      <c r="A58" s="52"/>
      <c r="B58" s="52"/>
      <c r="C58" s="52"/>
      <c r="D58" s="91"/>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row>
    <row r="59" spans="1:37">
      <c r="A59" s="52"/>
      <c r="B59" s="52"/>
      <c r="C59" s="52"/>
      <c r="D59" s="91"/>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row>
    <row r="60" spans="1:37">
      <c r="A60" s="52"/>
      <c r="B60" s="52"/>
      <c r="C60" s="52"/>
      <c r="D60" s="91"/>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row>
    <row r="61" spans="1:37">
      <c r="A61" s="52"/>
      <c r="B61" s="52"/>
      <c r="C61" s="52"/>
      <c r="D61" s="91"/>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row>
    <row r="62" spans="1:37">
      <c r="A62" s="52"/>
      <c r="B62" s="52"/>
      <c r="C62" s="52"/>
      <c r="D62" s="91"/>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row>
    <row r="63" spans="1:37">
      <c r="A63" s="52"/>
      <c r="B63" s="52"/>
      <c r="C63" s="52"/>
      <c r="D63" s="91"/>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row>
    <row r="64" spans="1:37">
      <c r="A64" s="52"/>
      <c r="B64" s="52"/>
      <c r="C64" s="52"/>
      <c r="D64" s="91"/>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row>
    <row r="65" spans="1:37">
      <c r="A65" s="52"/>
      <c r="B65" s="52"/>
      <c r="C65" s="52"/>
      <c r="D65" s="91"/>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row>
    <row r="66" spans="1:37">
      <c r="A66" s="52"/>
      <c r="B66" s="52"/>
      <c r="C66" s="52"/>
      <c r="D66" s="91"/>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row>
    <row r="67" spans="1:37">
      <c r="A67" s="52"/>
      <c r="B67" s="52"/>
      <c r="C67" s="52"/>
      <c r="D67" s="91"/>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row>
    <row r="68" spans="1:37">
      <c r="A68" s="52"/>
      <c r="B68" s="52"/>
      <c r="C68" s="52"/>
      <c r="D68" s="91"/>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row>
    <row r="69" spans="1:37">
      <c r="A69" s="52"/>
      <c r="B69" s="52"/>
      <c r="C69" s="52"/>
      <c r="D69" s="91"/>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row>
    <row r="70" spans="1:37">
      <c r="A70" s="52"/>
      <c r="B70" s="52"/>
      <c r="C70" s="52"/>
      <c r="D70" s="91"/>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row>
    <row r="71" spans="1:37">
      <c r="A71" s="52"/>
      <c r="B71" s="52"/>
      <c r="C71" s="52"/>
      <c r="D71" s="91"/>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row>
    <row r="72" spans="1:37">
      <c r="A72" s="52"/>
      <c r="B72" s="52"/>
      <c r="C72" s="52"/>
      <c r="D72" s="91"/>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row>
    <row r="73" spans="1:37">
      <c r="A73" s="52"/>
      <c r="B73" s="52"/>
      <c r="C73" s="52"/>
      <c r="D73" s="91"/>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row>
    <row r="74" spans="1:37">
      <c r="A74" s="52"/>
      <c r="B74" s="52"/>
      <c r="C74" s="52"/>
      <c r="D74" s="91"/>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row>
    <row r="75" spans="1:37">
      <c r="A75" s="52"/>
      <c r="B75" s="52"/>
      <c r="C75" s="52"/>
      <c r="D75" s="91"/>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row>
    <row r="76" spans="1:37">
      <c r="A76" s="52"/>
      <c r="B76" s="52"/>
      <c r="C76" s="52"/>
      <c r="D76" s="91"/>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row>
    <row r="77" spans="1:37">
      <c r="A77" s="52"/>
      <c r="B77" s="52"/>
      <c r="C77" s="52"/>
      <c r="D77" s="91"/>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row>
    <row r="78" spans="1:37">
      <c r="A78" s="52"/>
      <c r="B78" s="52"/>
      <c r="C78" s="52"/>
      <c r="D78" s="91"/>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row>
    <row r="79" spans="1:37">
      <c r="A79" s="52"/>
      <c r="B79" s="52"/>
      <c r="C79" s="52"/>
      <c r="D79" s="91"/>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row>
    <row r="80" spans="1:37">
      <c r="A80" s="52"/>
      <c r="B80" s="52"/>
      <c r="C80" s="52"/>
      <c r="D80" s="91"/>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0FC4E-B050-DE47-A4F4-4AFDE51DF398}">
  <sheetPr>
    <tabColor rgb="FFFF7D59"/>
    <pageSetUpPr fitToPage="1"/>
  </sheetPr>
  <dimension ref="A1:AF85"/>
  <sheetViews>
    <sheetView tabSelected="1" topLeftCell="A25" workbookViewId="0">
      <selection activeCell="AG19" sqref="AG19"/>
    </sheetView>
  </sheetViews>
  <sheetFormatPr baseColWidth="10" defaultRowHeight="13"/>
  <cols>
    <col min="1" max="1" width="15" customWidth="1"/>
    <col min="2" max="15" width="3.6640625" customWidth="1"/>
    <col min="16" max="16" width="2.33203125" customWidth="1"/>
    <col min="17" max="22" width="3.6640625" customWidth="1"/>
    <col min="23" max="23" width="2.33203125" customWidth="1"/>
    <col min="24" max="31" width="3.6640625" customWidth="1"/>
    <col min="32" max="32" width="3.33203125" customWidth="1"/>
  </cols>
  <sheetData>
    <row r="1" spans="1:32">
      <c r="A1" s="93"/>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row>
    <row r="2" spans="1:32" ht="16" customHeight="1">
      <c r="A2" s="93"/>
      <c r="B2" s="181" t="s">
        <v>74</v>
      </c>
      <c r="C2" s="181"/>
      <c r="D2" s="181"/>
      <c r="E2" s="181"/>
      <c r="F2" s="181"/>
      <c r="G2" s="181"/>
      <c r="H2" s="93"/>
      <c r="I2" s="93"/>
      <c r="J2" s="93"/>
      <c r="K2" s="93"/>
      <c r="L2" s="93"/>
      <c r="M2" s="93"/>
      <c r="N2" s="93"/>
      <c r="O2" s="93"/>
      <c r="P2" s="93"/>
      <c r="Q2" s="93"/>
      <c r="R2" s="93"/>
      <c r="S2" s="93"/>
      <c r="T2" s="93"/>
      <c r="U2" s="93"/>
      <c r="V2" s="93"/>
      <c r="W2" s="93"/>
      <c r="X2" s="95"/>
      <c r="Y2" s="93"/>
      <c r="Z2" s="93"/>
      <c r="AA2" s="96"/>
      <c r="AB2" s="96"/>
      <c r="AC2" s="96"/>
      <c r="AD2" s="96"/>
      <c r="AE2" s="96"/>
      <c r="AF2" s="93"/>
    </row>
    <row r="3" spans="1:32" ht="36" customHeight="1">
      <c r="A3" s="93"/>
      <c r="B3" s="165" t="s">
        <v>132</v>
      </c>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93"/>
    </row>
    <row r="4" spans="1:32" ht="16" customHeight="1">
      <c r="A4" s="93"/>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93"/>
    </row>
    <row r="5" spans="1:32" ht="16" customHeight="1">
      <c r="A5" s="93"/>
      <c r="B5" s="165"/>
      <c r="C5" s="165"/>
      <c r="D5" s="165"/>
      <c r="E5" s="165"/>
      <c r="F5" s="165"/>
      <c r="G5" s="165"/>
      <c r="H5" s="165"/>
      <c r="I5" s="165"/>
      <c r="J5" s="165"/>
      <c r="K5" s="165"/>
      <c r="L5" s="165"/>
      <c r="M5" s="165"/>
      <c r="N5" s="165"/>
      <c r="O5" s="165"/>
      <c r="P5" s="165"/>
      <c r="Q5" s="165"/>
      <c r="R5" s="165"/>
      <c r="S5" s="165"/>
      <c r="T5" s="165"/>
      <c r="U5" s="165"/>
      <c r="V5" s="165"/>
      <c r="W5" s="165"/>
      <c r="X5" s="165"/>
      <c r="Y5" s="165"/>
      <c r="Z5" s="165"/>
      <c r="AA5" s="165"/>
      <c r="AB5" s="165"/>
      <c r="AC5" s="165"/>
      <c r="AD5" s="165"/>
      <c r="AE5" s="165"/>
      <c r="AF5" s="93"/>
    </row>
    <row r="6" spans="1:32" ht="8" customHeight="1">
      <c r="A6" s="93"/>
      <c r="B6" s="97"/>
      <c r="C6" s="97"/>
      <c r="D6" s="97"/>
      <c r="E6" s="97"/>
      <c r="F6" s="97"/>
      <c r="G6" s="97"/>
      <c r="H6" s="97"/>
      <c r="I6" s="97"/>
      <c r="J6" s="97"/>
      <c r="K6" s="97"/>
      <c r="L6" s="97"/>
      <c r="M6" s="97"/>
      <c r="N6" s="97"/>
      <c r="O6" s="97"/>
      <c r="P6" s="97"/>
      <c r="Q6" s="97"/>
      <c r="R6" s="97"/>
      <c r="S6" s="97"/>
      <c r="T6" s="97"/>
      <c r="U6" s="97"/>
      <c r="V6" s="97"/>
      <c r="W6" s="97"/>
      <c r="X6" s="97"/>
      <c r="Y6" s="97"/>
      <c r="Z6" s="97"/>
      <c r="AA6" s="97"/>
      <c r="AB6" s="97"/>
      <c r="AC6" s="97"/>
      <c r="AD6" s="97"/>
      <c r="AE6" s="97"/>
      <c r="AF6" s="93"/>
    </row>
    <row r="7" spans="1:32" ht="16" customHeight="1">
      <c r="A7" s="93"/>
      <c r="B7" s="93"/>
      <c r="C7" s="93"/>
      <c r="D7" s="93"/>
      <c r="E7" s="93"/>
      <c r="F7" s="93"/>
      <c r="G7" s="93"/>
      <c r="H7" s="93"/>
      <c r="I7" s="93"/>
      <c r="J7" s="93"/>
      <c r="K7" s="93"/>
      <c r="L7" s="93"/>
      <c r="M7" s="93"/>
      <c r="N7" s="93"/>
      <c r="O7" s="93"/>
      <c r="P7" s="93"/>
      <c r="Q7" s="93"/>
      <c r="R7" s="93"/>
      <c r="S7" s="93"/>
      <c r="T7" s="93"/>
      <c r="U7" s="93"/>
      <c r="V7" s="93"/>
      <c r="W7" s="93"/>
      <c r="X7" s="93"/>
      <c r="Y7" s="93"/>
      <c r="Z7" s="93"/>
      <c r="AA7" s="93"/>
      <c r="AB7" s="93"/>
      <c r="AC7" s="93"/>
      <c r="AD7" s="93"/>
      <c r="AE7" s="93"/>
      <c r="AF7" s="93"/>
    </row>
    <row r="8" spans="1:32" ht="25" customHeight="1">
      <c r="A8" s="93"/>
      <c r="B8" s="177" t="s">
        <v>133</v>
      </c>
      <c r="C8" s="177"/>
      <c r="D8" s="177"/>
      <c r="E8" s="177"/>
      <c r="F8" s="93"/>
      <c r="G8" s="93"/>
      <c r="H8" s="93"/>
      <c r="I8" s="93"/>
      <c r="J8" s="93"/>
      <c r="K8" s="93"/>
      <c r="L8" s="93"/>
      <c r="M8" s="93"/>
      <c r="N8" s="93"/>
      <c r="O8" s="93"/>
      <c r="P8" s="162" t="s">
        <v>76</v>
      </c>
      <c r="Q8" s="163"/>
      <c r="R8" s="163"/>
      <c r="S8" s="163"/>
      <c r="T8" s="163"/>
      <c r="U8" s="164"/>
      <c r="V8" s="93"/>
      <c r="W8" s="162" t="s">
        <v>77</v>
      </c>
      <c r="X8" s="163"/>
      <c r="Y8" s="163"/>
      <c r="Z8" s="163"/>
      <c r="AA8" s="163"/>
      <c r="AB8" s="163"/>
      <c r="AC8" s="163"/>
      <c r="AD8" s="163"/>
      <c r="AE8" s="164"/>
      <c r="AF8" s="93"/>
    </row>
    <row r="9" spans="1:32" ht="15" customHeight="1">
      <c r="A9" s="93"/>
      <c r="B9" s="93"/>
      <c r="C9" s="93"/>
      <c r="D9" s="93"/>
      <c r="E9" s="93"/>
      <c r="F9" s="93"/>
      <c r="G9" s="93"/>
      <c r="H9" s="93"/>
      <c r="I9" s="93"/>
      <c r="J9" s="93"/>
      <c r="K9" s="93"/>
      <c r="L9" s="93"/>
      <c r="M9" s="93"/>
      <c r="N9" s="93"/>
      <c r="O9" s="93"/>
      <c r="P9" s="101"/>
      <c r="Q9" s="98"/>
      <c r="R9" s="98"/>
      <c r="S9" s="98"/>
      <c r="T9" s="98"/>
      <c r="U9" s="103"/>
      <c r="V9" s="93"/>
      <c r="W9" s="101"/>
      <c r="X9" s="98"/>
      <c r="Y9" s="98"/>
      <c r="Z9" s="98"/>
      <c r="AA9" s="98"/>
      <c r="AB9" s="98"/>
      <c r="AC9" s="98"/>
      <c r="AD9" s="98"/>
      <c r="AE9" s="103"/>
      <c r="AF9" s="93"/>
    </row>
    <row r="10" spans="1:32" ht="38" customHeight="1">
      <c r="A10" s="93"/>
      <c r="B10" s="166" t="str">
        <f>"Across "&amp;COUNTIF(Dashboard!B5:D5,"&gt;0")&amp;" prospectively-tracked cycle"&amp;IF(COUNTIF(Dashboard!B5:D5,"&gt;0")=1,"","s")&amp;", low mood was recorded in the late luteal phase and eased during the follicular phase in "&amp;COUNTIF(Dashboard!B13:D13,"YES")&amp;" of "&amp;COUNTIF(Dashboard!B5:D5,"&gt;0")&amp;" cycles ("&amp;TEXT(IFERROR(COUNTIF(Dashboard!B13:D13,"YES")/COUNTIF(Dashboard!B5:D5,"&gt;0"),0),"0%")&amp;")."</f>
        <v>Across 3 prospectively-tracked cycles, low mood was recorded in the late luteal phase and eased during the follicular phase in 2 of 3 cycles (67%).</v>
      </c>
      <c r="C10" s="166"/>
      <c r="D10" s="166"/>
      <c r="E10" s="166"/>
      <c r="F10" s="166"/>
      <c r="G10" s="166"/>
      <c r="H10" s="166"/>
      <c r="I10" s="166"/>
      <c r="J10" s="166"/>
      <c r="K10" s="166"/>
      <c r="L10" s="166"/>
      <c r="M10" s="166"/>
      <c r="N10" s="166"/>
      <c r="O10" s="93"/>
      <c r="P10" s="186">
        <f>COUNTIF(Dashboard!B5:D5,"&gt;0")</f>
        <v>3</v>
      </c>
      <c r="Q10" s="187"/>
      <c r="R10" s="187"/>
      <c r="S10" s="187"/>
      <c r="T10" s="187"/>
      <c r="U10" s="188"/>
      <c r="V10" s="93"/>
      <c r="W10" s="186">
        <f>SUM(Dashboard!B5:D5)</f>
        <v>13</v>
      </c>
      <c r="X10" s="187"/>
      <c r="Y10" s="187"/>
      <c r="Z10" s="187"/>
      <c r="AA10" s="187"/>
      <c r="AB10" s="187"/>
      <c r="AC10" s="187"/>
      <c r="AD10" s="187"/>
      <c r="AE10" s="188"/>
      <c r="AF10" s="93"/>
    </row>
    <row r="11" spans="1:32" ht="8" customHeight="1">
      <c r="A11" s="93"/>
      <c r="B11" s="166"/>
      <c r="C11" s="166"/>
      <c r="D11" s="166"/>
      <c r="E11" s="166"/>
      <c r="F11" s="166"/>
      <c r="G11" s="166"/>
      <c r="H11" s="166"/>
      <c r="I11" s="166"/>
      <c r="J11" s="166"/>
      <c r="K11" s="166"/>
      <c r="L11" s="166"/>
      <c r="M11" s="166"/>
      <c r="N11" s="166"/>
      <c r="O11" s="93"/>
      <c r="P11" s="102"/>
      <c r="Q11" s="100"/>
      <c r="R11" s="100"/>
      <c r="S11" s="100"/>
      <c r="T11" s="100"/>
      <c r="U11" s="104"/>
      <c r="V11" s="93"/>
      <c r="W11" s="102"/>
      <c r="X11" s="100"/>
      <c r="Y11" s="100"/>
      <c r="Z11" s="100"/>
      <c r="AA11" s="100"/>
      <c r="AB11" s="100"/>
      <c r="AC11" s="100"/>
      <c r="AD11" s="100"/>
      <c r="AE11" s="104"/>
      <c r="AF11" s="93"/>
    </row>
    <row r="12" spans="1:32" ht="8" customHeight="1">
      <c r="A12" s="93"/>
      <c r="B12" s="166"/>
      <c r="C12" s="166"/>
      <c r="D12" s="166"/>
      <c r="E12" s="166"/>
      <c r="F12" s="166"/>
      <c r="G12" s="166"/>
      <c r="H12" s="166"/>
      <c r="I12" s="166"/>
      <c r="J12" s="166"/>
      <c r="K12" s="166"/>
      <c r="L12" s="166"/>
      <c r="M12" s="166"/>
      <c r="N12" s="166"/>
      <c r="O12" s="93"/>
      <c r="P12" s="93"/>
      <c r="Q12" s="93"/>
      <c r="R12" s="93"/>
      <c r="S12" s="93"/>
      <c r="T12" s="93"/>
      <c r="U12" s="93"/>
      <c r="V12" s="93"/>
      <c r="W12" s="93"/>
      <c r="X12" s="93"/>
      <c r="Y12" s="93"/>
      <c r="Z12" s="93"/>
      <c r="AA12" s="93"/>
      <c r="AB12" s="93"/>
      <c r="AC12" s="93"/>
      <c r="AD12" s="93"/>
      <c r="AE12" s="93"/>
      <c r="AF12" s="93"/>
    </row>
    <row r="13" spans="1:32" ht="16" customHeight="1">
      <c r="A13" s="93"/>
      <c r="B13" s="166"/>
      <c r="C13" s="166"/>
      <c r="D13" s="166"/>
      <c r="E13" s="166"/>
      <c r="F13" s="166"/>
      <c r="G13" s="166"/>
      <c r="H13" s="166"/>
      <c r="I13" s="166"/>
      <c r="J13" s="166"/>
      <c r="K13" s="166"/>
      <c r="L13" s="166"/>
      <c r="M13" s="166"/>
      <c r="N13" s="166"/>
      <c r="O13" s="93"/>
      <c r="P13" s="162" t="s">
        <v>78</v>
      </c>
      <c r="Q13" s="163"/>
      <c r="R13" s="163"/>
      <c r="S13" s="163"/>
      <c r="T13" s="163"/>
      <c r="U13" s="164"/>
      <c r="V13" s="93"/>
      <c r="W13" s="162" t="s">
        <v>150</v>
      </c>
      <c r="X13" s="163"/>
      <c r="Y13" s="163"/>
      <c r="Z13" s="163"/>
      <c r="AA13" s="163"/>
      <c r="AB13" s="163"/>
      <c r="AC13" s="163"/>
      <c r="AD13" s="163"/>
      <c r="AE13" s="164"/>
      <c r="AF13" s="93"/>
    </row>
    <row r="14" spans="1:32" ht="8" customHeight="1">
      <c r="A14" s="93"/>
      <c r="B14" s="166"/>
      <c r="C14" s="166"/>
      <c r="D14" s="166"/>
      <c r="E14" s="166"/>
      <c r="F14" s="166"/>
      <c r="G14" s="166"/>
      <c r="H14" s="166"/>
      <c r="I14" s="166"/>
      <c r="J14" s="166"/>
      <c r="K14" s="166"/>
      <c r="L14" s="166"/>
      <c r="M14" s="166"/>
      <c r="N14" s="166"/>
      <c r="O14" s="93"/>
      <c r="P14" s="101"/>
      <c r="Q14" s="98"/>
      <c r="R14" s="98"/>
      <c r="S14" s="98"/>
      <c r="T14" s="98"/>
      <c r="U14" s="103"/>
      <c r="V14" s="93"/>
      <c r="W14" s="101"/>
      <c r="X14" s="98"/>
      <c r="Y14" s="98"/>
      <c r="Z14" s="98"/>
      <c r="AA14" s="98"/>
      <c r="AB14" s="98"/>
      <c r="AC14" s="98"/>
      <c r="AD14" s="98"/>
      <c r="AE14" s="103"/>
      <c r="AF14" s="93"/>
    </row>
    <row r="15" spans="1:32" ht="38" customHeight="1">
      <c r="A15" s="93"/>
      <c r="B15" s="166"/>
      <c r="C15" s="166"/>
      <c r="D15" s="166"/>
      <c r="E15" s="166"/>
      <c r="F15" s="166"/>
      <c r="G15" s="166"/>
      <c r="H15" s="166"/>
      <c r="I15" s="166"/>
      <c r="J15" s="166"/>
      <c r="K15" s="166"/>
      <c r="L15" s="166"/>
      <c r="M15" s="166"/>
      <c r="N15" s="166"/>
      <c r="O15" s="93"/>
      <c r="P15" s="186">
        <f>SUM(Dashboard!B8:D8)</f>
        <v>8</v>
      </c>
      <c r="Q15" s="187"/>
      <c r="R15" s="187"/>
      <c r="S15" s="187"/>
      <c r="T15" s="187"/>
      <c r="U15" s="188"/>
      <c r="V15" s="93"/>
      <c r="W15" s="189" t="str">
        <f>COUNTIF(Dashboard!B13:D13,"YES")&amp;"/"&amp;COUNTIF(Dashboard!B5:D5,"&gt;0")</f>
        <v>2/3</v>
      </c>
      <c r="X15" s="190"/>
      <c r="Y15" s="190"/>
      <c r="Z15" s="190"/>
      <c r="AA15" s="190"/>
      <c r="AB15" s="190"/>
      <c r="AC15" s="190"/>
      <c r="AD15" s="190"/>
      <c r="AE15" s="191"/>
      <c r="AF15" s="93"/>
    </row>
    <row r="16" spans="1:32" ht="8" customHeight="1">
      <c r="A16" s="93"/>
      <c r="B16" s="167" t="str">
        <f>"What you've recorded: "&amp;IF(COUNTIF(Dashboard!B5:D5,"&gt;0")&lt;2,"Not enough data yet to describe a trend.","Symptoms were recorded more frequently during the late luteal phase in "&amp;COUNTIF(Dashboard!B13:D13,"YES")&amp;" of "&amp;COUNTIF(Dashboard!B5:D5,"&gt;0")&amp;" tracked cycles. Continue tracking, and bring this record to your healthcare professional to discuss.")</f>
        <v>What you've recorded: Symptoms were recorded more frequently during the late luteal phase in 2 of 3 tracked cycles. Continue tracking, and bring this record to your healthcare professional to discuss.</v>
      </c>
      <c r="C16" s="167"/>
      <c r="D16" s="167"/>
      <c r="E16" s="167"/>
      <c r="F16" s="167"/>
      <c r="G16" s="167"/>
      <c r="H16" s="167"/>
      <c r="I16" s="167"/>
      <c r="J16" s="167"/>
      <c r="K16" s="167"/>
      <c r="L16" s="167"/>
      <c r="M16" s="167"/>
      <c r="N16" s="167"/>
      <c r="O16" s="93"/>
      <c r="P16" s="102"/>
      <c r="Q16" s="100"/>
      <c r="R16" s="100"/>
      <c r="S16" s="100"/>
      <c r="T16" s="100"/>
      <c r="U16" s="104"/>
      <c r="V16" s="93"/>
      <c r="W16" s="102"/>
      <c r="X16" s="100"/>
      <c r="Y16" s="100"/>
      <c r="Z16" s="100"/>
      <c r="AA16" s="100"/>
      <c r="AB16" s="100"/>
      <c r="AC16" s="100"/>
      <c r="AD16" s="100"/>
      <c r="AE16" s="104"/>
      <c r="AF16" s="93"/>
    </row>
    <row r="17" spans="1:32" ht="22" customHeight="1">
      <c r="A17" s="93"/>
      <c r="B17" s="167"/>
      <c r="C17" s="167"/>
      <c r="D17" s="167"/>
      <c r="E17" s="167"/>
      <c r="F17" s="167"/>
      <c r="G17" s="167"/>
      <c r="H17" s="167"/>
      <c r="I17" s="167"/>
      <c r="J17" s="167"/>
      <c r="K17" s="167"/>
      <c r="L17" s="167"/>
      <c r="M17" s="167"/>
      <c r="N17" s="167"/>
      <c r="O17" s="93"/>
      <c r="P17" s="93"/>
      <c r="Q17" s="93"/>
      <c r="R17" s="93"/>
      <c r="S17" s="93"/>
      <c r="T17" s="93"/>
      <c r="U17" s="93"/>
      <c r="V17" s="93"/>
      <c r="W17" s="93"/>
      <c r="X17" s="93"/>
      <c r="Y17" s="93"/>
      <c r="Z17" s="93"/>
      <c r="AA17" s="93"/>
      <c r="AB17" s="93"/>
      <c r="AC17" s="93"/>
      <c r="AD17" s="93"/>
      <c r="AE17" s="93"/>
      <c r="AF17" s="93"/>
    </row>
    <row r="18" spans="1:32" ht="18" customHeight="1">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row>
    <row r="19" spans="1:32" ht="16" customHeight="1">
      <c r="A19" s="93"/>
      <c r="B19" s="94" t="s">
        <v>79</v>
      </c>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row>
    <row r="20" spans="1:32" ht="8" customHeight="1">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row>
    <row r="21" spans="1:32" ht="14" customHeight="1">
      <c r="A21" s="93"/>
      <c r="B21" s="105"/>
      <c r="C21" s="99"/>
      <c r="D21" s="107" t="str">
        <f>Tracker!B3</f>
        <v>Period</v>
      </c>
      <c r="E21" s="107" t="str">
        <f>Tracker!C3</f>
        <v>Period</v>
      </c>
      <c r="F21" s="107" t="str">
        <f>Tracker!D3</f>
        <v>Period</v>
      </c>
      <c r="G21" s="107" t="str">
        <f>Tracker!E3</f>
        <v>Period</v>
      </c>
      <c r="H21" s="107" t="str">
        <f>Tracker!F3</f>
        <v>Period</v>
      </c>
      <c r="I21" s="107" t="str">
        <f>Tracker!G3</f>
        <v>Follicular</v>
      </c>
      <c r="J21" s="107" t="str">
        <f>Tracker!H3</f>
        <v>Follicular</v>
      </c>
      <c r="K21" s="107" t="str">
        <f>Tracker!I3</f>
        <v>Follicular</v>
      </c>
      <c r="L21" s="107" t="str">
        <f>Tracker!J3</f>
        <v>Follicular</v>
      </c>
      <c r="M21" s="107" t="str">
        <f>Tracker!K3</f>
        <v>Follicular</v>
      </c>
      <c r="N21" s="107" t="str">
        <f>Tracker!L3</f>
        <v>Follicular</v>
      </c>
      <c r="O21" s="107" t="str">
        <f>Tracker!M3</f>
        <v>Follicular</v>
      </c>
      <c r="P21" s="107" t="str">
        <f>Tracker!N3</f>
        <v>Ovulation</v>
      </c>
      <c r="Q21" s="107" t="str">
        <f>Tracker!O3</f>
        <v>Ovulation</v>
      </c>
      <c r="R21" s="107" t="str">
        <f>Tracker!P3</f>
        <v>Ovulation</v>
      </c>
      <c r="S21" s="107" t="str">
        <f>Tracker!Q3</f>
        <v>Mid Luteal</v>
      </c>
      <c r="T21" s="107" t="str">
        <f>Tracker!R3</f>
        <v>Mid Luteal</v>
      </c>
      <c r="U21" s="107" t="str">
        <f>Tracker!S3</f>
        <v>Mid Luteal</v>
      </c>
      <c r="V21" s="107" t="str">
        <f>Tracker!T3</f>
        <v>Mid Luteal</v>
      </c>
      <c r="W21" s="107" t="str">
        <f>Tracker!U3</f>
        <v>Mid Luteal</v>
      </c>
      <c r="X21" s="107" t="str">
        <f>Tracker!V3</f>
        <v>Mid Luteal</v>
      </c>
      <c r="Y21" s="107" t="str">
        <f>Tracker!W3</f>
        <v>Mid Luteal</v>
      </c>
      <c r="Z21" s="107" t="str">
        <f>Tracker!X3</f>
        <v>Mid Luteal</v>
      </c>
      <c r="AA21" s="107" t="str">
        <f>Tracker!Y3</f>
        <v>Late Luteal</v>
      </c>
      <c r="AB21" s="107" t="str">
        <f>Tracker!Z3</f>
        <v>Late Luteal</v>
      </c>
      <c r="AC21" s="107" t="str">
        <f>Tracker!AA3</f>
        <v>Late Luteal</v>
      </c>
      <c r="AD21" s="107" t="str">
        <f>Tracker!AB3</f>
        <v>Late Luteal</v>
      </c>
      <c r="AE21" s="107" t="str">
        <f>Tracker!AC3</f>
        <v>Late Luteal</v>
      </c>
      <c r="AF21" s="93"/>
    </row>
    <row r="22" spans="1:32" ht="6" customHeight="1">
      <c r="A22" s="93"/>
      <c r="B22" s="101"/>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103"/>
      <c r="AF22" s="93"/>
    </row>
    <row r="23" spans="1:32" ht="24" customHeight="1">
      <c r="A23" s="93"/>
      <c r="B23" s="160" t="s">
        <v>80</v>
      </c>
      <c r="C23" s="161"/>
      <c r="D23" s="106" t="str">
        <f>IFERROR(IF(Tracker!B7="","",Tracker!B7),"")</f>
        <v>Good</v>
      </c>
      <c r="E23" s="106" t="str">
        <f>IFERROR(IF(Tracker!C7="","",Tracker!C7),"")</f>
        <v>Okay</v>
      </c>
      <c r="F23" s="106" t="str">
        <f>IFERROR(IF(Tracker!D7="","",Tracker!D7),"")</f>
        <v>Low</v>
      </c>
      <c r="G23" s="106" t="str">
        <f>IFERROR(IF(Tracker!E7="","",Tracker!E7),"")</f>
        <v/>
      </c>
      <c r="H23" s="106" t="str">
        <f>IFERROR(IF(Tracker!F7="","",Tracker!F7),"")</f>
        <v/>
      </c>
      <c r="I23" s="106" t="str">
        <f>IFERROR(IF(Tracker!G7="","",Tracker!G7),"")</f>
        <v/>
      </c>
      <c r="J23" s="106" t="str">
        <f>IFERROR(IF(Tracker!H7="","",Tracker!H7),"")</f>
        <v/>
      </c>
      <c r="K23" s="106" t="str">
        <f>IFERROR(IF(Tracker!I7="","",Tracker!I7),"")</f>
        <v/>
      </c>
      <c r="L23" s="106" t="str">
        <f>IFERROR(IF(Tracker!J7="","",Tracker!J7),"")</f>
        <v/>
      </c>
      <c r="M23" s="106" t="str">
        <f>IFERROR(IF(Tracker!K7="","",Tracker!K7),"")</f>
        <v/>
      </c>
      <c r="N23" s="106" t="str">
        <f>IFERROR(IF(Tracker!L7="","",Tracker!L7),"")</f>
        <v/>
      </c>
      <c r="O23" s="106" t="str">
        <f>IFERROR(IF(Tracker!M7="","",Tracker!M7),"")</f>
        <v/>
      </c>
      <c r="P23" s="106" t="str">
        <f>IFERROR(IF(Tracker!N7="","",Tracker!N7),"")</f>
        <v/>
      </c>
      <c r="Q23" s="106" t="str">
        <f>IFERROR(IF(Tracker!O7="","",Tracker!O7),"")</f>
        <v>Okay</v>
      </c>
      <c r="R23" s="106" t="str">
        <f>IFERROR(IF(Tracker!P7="","",Tracker!P7),"")</f>
        <v>Okay</v>
      </c>
      <c r="S23" s="106" t="str">
        <f>IFERROR(IF(Tracker!Q7="","",Tracker!Q7),"")</f>
        <v>Okay</v>
      </c>
      <c r="T23" s="106" t="str">
        <f>IFERROR(IF(Tracker!R7="","",Tracker!R7),"")</f>
        <v>Low</v>
      </c>
      <c r="U23" s="106" t="str">
        <f>IFERROR(IF(Tracker!S7="","",Tracker!S7),"")</f>
        <v>Low</v>
      </c>
      <c r="V23" s="106" t="str">
        <f>IFERROR(IF(Tracker!T7="","",Tracker!T7),"")</f>
        <v>Low</v>
      </c>
      <c r="W23" s="106" t="str">
        <f>IFERROR(IF(Tracker!U7="","",Tracker!U7),"")</f>
        <v/>
      </c>
      <c r="X23" s="106" t="str">
        <f>IFERROR(IF(Tracker!V7="","",Tracker!V7),"")</f>
        <v/>
      </c>
      <c r="Y23" s="106" t="str">
        <f>IFERROR(IF(Tracker!W7="","",Tracker!W7),"")</f>
        <v/>
      </c>
      <c r="Z23" s="106" t="str">
        <f>IFERROR(IF(Tracker!X7="","",Tracker!X7),"")</f>
        <v/>
      </c>
      <c r="AA23" s="106" t="str">
        <f>IFERROR(IF(Tracker!Y7="","",Tracker!Y7),"")</f>
        <v/>
      </c>
      <c r="AB23" s="106" t="str">
        <f>IFERROR(IF(Tracker!Z7="","",Tracker!Z7),"")</f>
        <v/>
      </c>
      <c r="AC23" s="106" t="str">
        <f>IFERROR(IF(Tracker!AA7="","",Tracker!AA7),"")</f>
        <v/>
      </c>
      <c r="AD23" s="106" t="str">
        <f>IFERROR(IF(Tracker!AB7="","",Tracker!AB7),"")</f>
        <v/>
      </c>
      <c r="AE23" s="106" t="str">
        <f>IFERROR(IF(Tracker!AC7="","",Tracker!AC7),"")</f>
        <v/>
      </c>
      <c r="AF23" s="93"/>
    </row>
    <row r="24" spans="1:32" ht="6" customHeight="1">
      <c r="A24" s="93"/>
      <c r="B24" s="101"/>
      <c r="C24" s="98"/>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93"/>
    </row>
    <row r="25" spans="1:32" ht="24" customHeight="1">
      <c r="A25" s="93"/>
      <c r="B25" s="160" t="s">
        <v>81</v>
      </c>
      <c r="C25" s="161"/>
      <c r="D25" s="106" t="str">
        <f>IFERROR(IF(Tracker!B12="","",Tracker!B12),"")</f>
        <v/>
      </c>
      <c r="E25" s="106" t="str">
        <f>IFERROR(IF(Tracker!C12="","",Tracker!C12),"")</f>
        <v/>
      </c>
      <c r="F25" s="106" t="str">
        <f>IFERROR(IF(Tracker!D12="","",Tracker!D12),"")</f>
        <v/>
      </c>
      <c r="G25" s="106" t="str">
        <f>IFERROR(IF(Tracker!E12="","",Tracker!E12),"")</f>
        <v/>
      </c>
      <c r="H25" s="106" t="str">
        <f>IFERROR(IF(Tracker!F12="","",Tracker!F12),"")</f>
        <v/>
      </c>
      <c r="I25" s="106" t="str">
        <f>IFERROR(IF(Tracker!G12="","",Tracker!G12),"")</f>
        <v/>
      </c>
      <c r="J25" s="106" t="str">
        <f>IFERROR(IF(Tracker!H12="","",Tracker!H12),"")</f>
        <v/>
      </c>
      <c r="K25" s="106" t="str">
        <f>IFERROR(IF(Tracker!I12="","",Tracker!I12),"")</f>
        <v/>
      </c>
      <c r="L25" s="106" t="str">
        <f>IFERROR(IF(Tracker!J12="","",Tracker!J12),"")</f>
        <v/>
      </c>
      <c r="M25" s="106" t="str">
        <f>IFERROR(IF(Tracker!K12="","",Tracker!K12),"")</f>
        <v/>
      </c>
      <c r="N25" s="106" t="str">
        <f>IFERROR(IF(Tracker!L12="","",Tracker!L12),"")</f>
        <v/>
      </c>
      <c r="O25" s="106" t="str">
        <f>IFERROR(IF(Tracker!M12="","",Tracker!M12),"")</f>
        <v/>
      </c>
      <c r="P25" s="106" t="str">
        <f>IFERROR(IF(Tracker!N12="","",Tracker!N12),"")</f>
        <v/>
      </c>
      <c r="Q25" s="106" t="str">
        <f>IFERROR(IF(Tracker!O12="","",Tracker!O12),"")</f>
        <v/>
      </c>
      <c r="R25" s="106" t="str">
        <f>IFERROR(IF(Tracker!P12="","",Tracker!P12),"")</f>
        <v/>
      </c>
      <c r="S25" s="106" t="str">
        <f>IFERROR(IF(Tracker!Q12="","",Tracker!Q12),"")</f>
        <v/>
      </c>
      <c r="T25" s="106" t="str">
        <f>IFERROR(IF(Tracker!R12="","",Tracker!R12),"")</f>
        <v/>
      </c>
      <c r="U25" s="106" t="str">
        <f>IFERROR(IF(Tracker!S12="","",Tracker!S12),"")</f>
        <v/>
      </c>
      <c r="V25" s="106" t="str">
        <f>IFERROR(IF(Tracker!T12="","",Tracker!T12),"")</f>
        <v/>
      </c>
      <c r="W25" s="106" t="str">
        <f>IFERROR(IF(Tracker!U12="","",Tracker!U12),"")</f>
        <v>Low</v>
      </c>
      <c r="X25" s="106" t="str">
        <f>IFERROR(IF(Tracker!V12="","",Tracker!V12),"")</f>
        <v/>
      </c>
      <c r="Y25" s="106" t="str">
        <f>IFERROR(IF(Tracker!W12="","",Tracker!W12),"")</f>
        <v/>
      </c>
      <c r="Z25" s="106" t="str">
        <f>IFERROR(IF(Tracker!X12="","",Tracker!X12),"")</f>
        <v/>
      </c>
      <c r="AA25" s="106" t="str">
        <f>IFERROR(IF(Tracker!Y12="","",Tracker!Y12),"")</f>
        <v/>
      </c>
      <c r="AB25" s="106" t="str">
        <f>IFERROR(IF(Tracker!Z12="","",Tracker!Z12),"")</f>
        <v/>
      </c>
      <c r="AC25" s="106" t="str">
        <f>IFERROR(IF(Tracker!AA12="","",Tracker!AA12),"")</f>
        <v>Low</v>
      </c>
      <c r="AD25" s="106" t="str">
        <f>IFERROR(IF(Tracker!AB12="","",Tracker!AB12),"")</f>
        <v/>
      </c>
      <c r="AE25" s="106" t="str">
        <f>IFERROR(IF(Tracker!AC12="","",Tracker!AC12),"")</f>
        <v/>
      </c>
      <c r="AF25" s="93"/>
    </row>
    <row r="26" spans="1:32" ht="6" customHeight="1">
      <c r="A26" s="93"/>
      <c r="B26" s="101"/>
      <c r="C26" s="98"/>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93"/>
    </row>
    <row r="27" spans="1:32" ht="24" customHeight="1">
      <c r="A27" s="93"/>
      <c r="B27" s="160" t="s">
        <v>82</v>
      </c>
      <c r="C27" s="161"/>
      <c r="D27" s="106" t="str">
        <f>IFERROR(IF(Tracker!B17="","",Tracker!B17),"")</f>
        <v/>
      </c>
      <c r="E27" s="106" t="str">
        <f>IFERROR(IF(Tracker!C17="","",Tracker!C17),"")</f>
        <v/>
      </c>
      <c r="F27" s="106" t="str">
        <f>IFERROR(IF(Tracker!D17="","",Tracker!D17),"")</f>
        <v/>
      </c>
      <c r="G27" s="106" t="str">
        <f>IFERROR(IF(Tracker!E17="","",Tracker!E17),"")</f>
        <v/>
      </c>
      <c r="H27" s="106" t="str">
        <f>IFERROR(IF(Tracker!F17="","",Tracker!F17),"")</f>
        <v/>
      </c>
      <c r="I27" s="106" t="str">
        <f>IFERROR(IF(Tracker!G17="","",Tracker!G17),"")</f>
        <v/>
      </c>
      <c r="J27" s="106" t="str">
        <f>IFERROR(IF(Tracker!H17="","",Tracker!H17),"")</f>
        <v/>
      </c>
      <c r="K27" s="106" t="str">
        <f>IFERROR(IF(Tracker!I17="","",Tracker!I17),"")</f>
        <v/>
      </c>
      <c r="L27" s="106" t="str">
        <f>IFERROR(IF(Tracker!J17="","",Tracker!J17),"")</f>
        <v/>
      </c>
      <c r="M27" s="106" t="str">
        <f>IFERROR(IF(Tracker!K17="","",Tracker!K17),"")</f>
        <v/>
      </c>
      <c r="N27" s="106" t="str">
        <f>IFERROR(IF(Tracker!L17="","",Tracker!L17),"")</f>
        <v/>
      </c>
      <c r="O27" s="106" t="str">
        <f>IFERROR(IF(Tracker!M17="","",Tracker!M17),"")</f>
        <v/>
      </c>
      <c r="P27" s="106" t="str">
        <f>IFERROR(IF(Tracker!N17="","",Tracker!N17),"")</f>
        <v/>
      </c>
      <c r="Q27" s="106" t="str">
        <f>IFERROR(IF(Tracker!O17="","",Tracker!O17),"")</f>
        <v/>
      </c>
      <c r="R27" s="106" t="str">
        <f>IFERROR(IF(Tracker!P17="","",Tracker!P17),"")</f>
        <v/>
      </c>
      <c r="S27" s="106" t="str">
        <f>IFERROR(IF(Tracker!Q17="","",Tracker!Q17),"")</f>
        <v/>
      </c>
      <c r="T27" s="106" t="str">
        <f>IFERROR(IF(Tracker!R17="","",Tracker!R17),"")</f>
        <v/>
      </c>
      <c r="U27" s="106" t="str">
        <f>IFERROR(IF(Tracker!S17="","",Tracker!S17),"")</f>
        <v/>
      </c>
      <c r="V27" s="106" t="str">
        <f>IFERROR(IF(Tracker!T17="","",Tracker!T17),"")</f>
        <v/>
      </c>
      <c r="W27" s="106" t="str">
        <f>IFERROR(IF(Tracker!U17="","",Tracker!U17),"")</f>
        <v>Low</v>
      </c>
      <c r="X27" s="106" t="str">
        <f>IFERROR(IF(Tracker!V17="","",Tracker!V17),"")</f>
        <v/>
      </c>
      <c r="Y27" s="106" t="str">
        <f>IFERROR(IF(Tracker!W17="","",Tracker!W17),"")</f>
        <v/>
      </c>
      <c r="Z27" s="106" t="str">
        <f>IFERROR(IF(Tracker!X17="","",Tracker!X17),"")</f>
        <v/>
      </c>
      <c r="AA27" s="106" t="str">
        <f>IFERROR(IF(Tracker!Y17="","",Tracker!Y17),"")</f>
        <v>Low</v>
      </c>
      <c r="AB27" s="106" t="str">
        <f>IFERROR(IF(Tracker!Z17="","",Tracker!Z17),"")</f>
        <v/>
      </c>
      <c r="AC27" s="106" t="str">
        <f>IFERROR(IF(Tracker!AA17="","",Tracker!AA17),"")</f>
        <v/>
      </c>
      <c r="AD27" s="106" t="str">
        <f>IFERROR(IF(Tracker!AB17="","",Tracker!AB17),"")</f>
        <v/>
      </c>
      <c r="AE27" s="106" t="str">
        <f>IFERROR(IF(Tracker!AC17="","",Tracker!AC17),"")</f>
        <v/>
      </c>
      <c r="AF27" s="93"/>
    </row>
    <row r="28" spans="1:32" ht="8" customHeight="1">
      <c r="A28" s="93"/>
      <c r="B28" s="101"/>
      <c r="C28" s="98"/>
      <c r="D28" s="98"/>
      <c r="E28" s="98"/>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103"/>
      <c r="AF28" s="93"/>
    </row>
    <row r="29" spans="1:32" ht="8" customHeight="1">
      <c r="A29" s="93"/>
      <c r="B29" s="101"/>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103"/>
      <c r="AF29" s="93"/>
    </row>
    <row r="30" spans="1:32" ht="16" customHeight="1">
      <c r="A30" s="93"/>
      <c r="B30" s="101"/>
      <c r="C30" s="108"/>
      <c r="D30" s="168" t="s">
        <v>83</v>
      </c>
      <c r="E30" s="169"/>
      <c r="F30" s="169"/>
      <c r="G30" s="109"/>
      <c r="H30" s="170" t="s">
        <v>84</v>
      </c>
      <c r="I30" s="171"/>
      <c r="J30" s="171"/>
      <c r="K30" s="110"/>
      <c r="L30" s="170" t="s">
        <v>85</v>
      </c>
      <c r="M30" s="171"/>
      <c r="N30" s="171"/>
      <c r="O30" s="98"/>
      <c r="P30" s="98"/>
      <c r="Q30" s="182" t="s">
        <v>86</v>
      </c>
      <c r="R30" s="182"/>
      <c r="S30" s="182"/>
      <c r="T30" s="182"/>
      <c r="U30" s="182"/>
      <c r="V30" s="182"/>
      <c r="W30" s="182"/>
      <c r="X30" s="182"/>
      <c r="Y30" s="182"/>
      <c r="Z30" s="182"/>
      <c r="AA30" s="182"/>
      <c r="AB30" s="182"/>
      <c r="AC30" s="182"/>
      <c r="AD30" s="182"/>
      <c r="AE30" s="183"/>
      <c r="AF30" s="93"/>
    </row>
    <row r="31" spans="1:32" ht="8" customHeight="1">
      <c r="A31" s="93"/>
      <c r="B31" s="101"/>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103"/>
      <c r="AF31" s="93"/>
    </row>
    <row r="32" spans="1:32" ht="8" customHeight="1">
      <c r="A32" s="93"/>
      <c r="B32" s="102"/>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c r="AA32" s="100"/>
      <c r="AB32" s="100"/>
      <c r="AC32" s="100"/>
      <c r="AD32" s="100"/>
      <c r="AE32" s="104"/>
      <c r="AF32" s="93"/>
    </row>
    <row r="33" spans="1:32" ht="16" customHeight="1">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row>
    <row r="34" spans="1:32" ht="16" customHeight="1">
      <c r="A34" s="93"/>
      <c r="B34" s="177" t="s">
        <v>87</v>
      </c>
      <c r="C34" s="177"/>
      <c r="D34" s="177"/>
      <c r="E34" s="177"/>
      <c r="F34" s="177"/>
      <c r="G34" s="177"/>
      <c r="H34" s="177"/>
      <c r="I34" s="177"/>
      <c r="J34" s="177"/>
      <c r="K34" s="177"/>
      <c r="L34" s="93"/>
      <c r="M34" s="93"/>
      <c r="N34" s="93"/>
      <c r="O34" s="93"/>
      <c r="P34" s="93"/>
      <c r="Q34" s="177" t="s">
        <v>133</v>
      </c>
      <c r="R34" s="177"/>
      <c r="S34" s="177"/>
      <c r="T34" s="177"/>
      <c r="U34" s="177"/>
      <c r="V34" s="177"/>
      <c r="W34" s="177"/>
      <c r="X34" s="177"/>
      <c r="Y34" s="177"/>
      <c r="Z34" s="177"/>
      <c r="AA34" s="93"/>
      <c r="AB34" s="93"/>
      <c r="AC34" s="93"/>
      <c r="AD34" s="93"/>
      <c r="AE34" s="93"/>
      <c r="AF34" s="93"/>
    </row>
    <row r="35" spans="1:32" ht="6" customHeight="1">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row>
    <row r="36" spans="1:32" ht="24" customHeight="1">
      <c r="A36" s="93"/>
      <c r="B36" s="172" t="s">
        <v>151</v>
      </c>
      <c r="C36" s="173"/>
      <c r="D36" s="173"/>
      <c r="E36" s="173"/>
      <c r="F36" s="173"/>
      <c r="G36" s="173"/>
      <c r="H36" s="173"/>
      <c r="I36" s="173"/>
      <c r="J36" s="173"/>
      <c r="K36" s="173"/>
      <c r="L36" s="173"/>
      <c r="M36" s="173"/>
      <c r="N36" s="173"/>
      <c r="O36" s="93"/>
      <c r="P36" s="93"/>
      <c r="Q36" s="167" t="s">
        <v>126</v>
      </c>
      <c r="R36" s="167"/>
      <c r="S36" s="167"/>
      <c r="T36" s="167"/>
      <c r="U36" s="167"/>
      <c r="V36" s="167"/>
      <c r="W36" s="167"/>
      <c r="X36" s="167"/>
      <c r="Y36" s="167"/>
      <c r="Z36" s="167"/>
      <c r="AA36" s="179" t="str">
        <f>IF(Dashboard!P11&gt;=2,"SEEN ✓","NOT YET")</f>
        <v>SEEN ✓</v>
      </c>
      <c r="AB36" s="179"/>
      <c r="AC36" s="179"/>
      <c r="AD36" s="179"/>
      <c r="AE36" s="179"/>
      <c r="AF36" s="93"/>
    </row>
    <row r="37" spans="1:32" ht="6" customHeight="1">
      <c r="A37" s="93"/>
      <c r="B37" s="174"/>
      <c r="C37" s="173"/>
      <c r="D37" s="173"/>
      <c r="E37" s="173"/>
      <c r="F37" s="173"/>
      <c r="G37" s="173"/>
      <c r="H37" s="173"/>
      <c r="I37" s="173"/>
      <c r="J37" s="173"/>
      <c r="K37" s="173"/>
      <c r="L37" s="173"/>
      <c r="M37" s="173"/>
      <c r="N37" s="173"/>
      <c r="O37" s="93"/>
      <c r="P37" s="93"/>
      <c r="Q37" s="111"/>
      <c r="R37" s="111"/>
      <c r="S37" s="111"/>
      <c r="T37" s="111"/>
      <c r="U37" s="111"/>
      <c r="V37" s="111"/>
      <c r="W37" s="111"/>
      <c r="X37" s="111"/>
      <c r="Y37" s="111"/>
      <c r="Z37" s="111"/>
      <c r="AA37" s="111"/>
      <c r="AB37" s="111"/>
      <c r="AC37" s="111"/>
      <c r="AD37" s="111"/>
      <c r="AE37" s="111"/>
      <c r="AF37" s="93"/>
    </row>
    <row r="38" spans="1:32" ht="24" customHeight="1">
      <c r="A38" s="93"/>
      <c r="B38" s="174"/>
      <c r="C38" s="173"/>
      <c r="D38" s="173"/>
      <c r="E38" s="173"/>
      <c r="F38" s="173"/>
      <c r="G38" s="173"/>
      <c r="H38" s="173"/>
      <c r="I38" s="173"/>
      <c r="J38" s="173"/>
      <c r="K38" s="173"/>
      <c r="L38" s="173"/>
      <c r="M38" s="173"/>
      <c r="N38" s="173"/>
      <c r="O38" s="93"/>
      <c r="P38" s="93"/>
      <c r="Q38" s="167" t="s">
        <v>148</v>
      </c>
      <c r="R38" s="167"/>
      <c r="S38" s="167"/>
      <c r="T38" s="167"/>
      <c r="U38" s="167"/>
      <c r="V38" s="167"/>
      <c r="W38" s="167"/>
      <c r="X38" s="167"/>
      <c r="Y38" s="167"/>
      <c r="Z38" s="167"/>
      <c r="AA38" s="179" t="str">
        <f>IF(COUNTIF(Dashboard!B13:M13,"YES")&gt;=1,"SEEN ✓","NOT YET")</f>
        <v>SEEN ✓</v>
      </c>
      <c r="AB38" s="179"/>
      <c r="AC38" s="179"/>
      <c r="AD38" s="179"/>
      <c r="AE38" s="179"/>
      <c r="AF38" s="93"/>
    </row>
    <row r="39" spans="1:32" ht="6" customHeight="1">
      <c r="A39" s="93"/>
      <c r="B39" s="174"/>
      <c r="C39" s="173"/>
      <c r="D39" s="173"/>
      <c r="E39" s="173"/>
      <c r="F39" s="173"/>
      <c r="G39" s="173"/>
      <c r="H39" s="173"/>
      <c r="I39" s="173"/>
      <c r="J39" s="173"/>
      <c r="K39" s="173"/>
      <c r="L39" s="173"/>
      <c r="M39" s="173"/>
      <c r="N39" s="173"/>
      <c r="O39" s="93"/>
      <c r="P39" s="93"/>
      <c r="Q39" s="111"/>
      <c r="R39" s="111"/>
      <c r="S39" s="111"/>
      <c r="T39" s="111"/>
      <c r="U39" s="111"/>
      <c r="V39" s="111"/>
      <c r="W39" s="111"/>
      <c r="X39" s="111"/>
      <c r="Y39" s="111"/>
      <c r="Z39" s="111"/>
      <c r="AA39" s="111"/>
      <c r="AB39" s="111"/>
      <c r="AC39" s="111"/>
      <c r="AD39" s="111"/>
      <c r="AE39" s="111"/>
      <c r="AF39" s="93"/>
    </row>
    <row r="40" spans="1:32" ht="24" customHeight="1">
      <c r="A40" s="93"/>
      <c r="B40" s="174"/>
      <c r="C40" s="173"/>
      <c r="D40" s="173"/>
      <c r="E40" s="173"/>
      <c r="F40" s="173"/>
      <c r="G40" s="173"/>
      <c r="H40" s="173"/>
      <c r="I40" s="173"/>
      <c r="J40" s="173"/>
      <c r="K40" s="173"/>
      <c r="L40" s="173"/>
      <c r="M40" s="173"/>
      <c r="N40" s="173"/>
      <c r="O40" s="93"/>
      <c r="P40" s="93"/>
      <c r="Q40" s="167" t="s">
        <v>127</v>
      </c>
      <c r="R40" s="167"/>
      <c r="S40" s="167"/>
      <c r="T40" s="167"/>
      <c r="U40" s="167"/>
      <c r="V40" s="167"/>
      <c r="W40" s="167"/>
      <c r="X40" s="167"/>
      <c r="Y40" s="167"/>
      <c r="Z40" s="167"/>
      <c r="AA40" s="179" t="str">
        <f>IF(COUNTIF(Dashboard!B14:M14,"YES")&gt;=1,"SEEN ✓","NOT YET")</f>
        <v>SEEN ✓</v>
      </c>
      <c r="AB40" s="179"/>
      <c r="AC40" s="179"/>
      <c r="AD40" s="179"/>
      <c r="AE40" s="179"/>
      <c r="AF40" s="93"/>
    </row>
    <row r="41" spans="1:32" ht="6" customHeight="1">
      <c r="A41" s="93"/>
      <c r="B41" s="93"/>
      <c r="C41" s="93"/>
      <c r="D41" s="93"/>
      <c r="E41" s="93"/>
      <c r="F41" s="93"/>
      <c r="G41" s="93"/>
      <c r="H41" s="93"/>
      <c r="I41" s="93"/>
      <c r="J41" s="93"/>
      <c r="K41" s="93"/>
      <c r="L41" s="93"/>
      <c r="M41" s="93"/>
      <c r="N41" s="93"/>
      <c r="O41" s="93"/>
      <c r="P41" s="93"/>
      <c r="Q41" s="111"/>
      <c r="R41" s="111"/>
      <c r="S41" s="111"/>
      <c r="T41" s="111"/>
      <c r="U41" s="111"/>
      <c r="V41" s="111"/>
      <c r="W41" s="111"/>
      <c r="X41" s="111"/>
      <c r="Y41" s="111"/>
      <c r="Z41" s="111"/>
      <c r="AA41" s="111"/>
      <c r="AB41" s="111"/>
      <c r="AC41" s="111"/>
      <c r="AD41" s="111"/>
      <c r="AE41" s="111"/>
      <c r="AF41" s="93"/>
    </row>
    <row r="42" spans="1:32" ht="24" customHeight="1">
      <c r="A42" s="93"/>
      <c r="B42" s="93"/>
      <c r="C42" s="93"/>
      <c r="D42" s="93"/>
      <c r="E42" s="93"/>
      <c r="F42" s="93"/>
      <c r="G42" s="93"/>
      <c r="H42" s="93"/>
      <c r="I42" s="93"/>
      <c r="J42" s="93"/>
      <c r="K42" s="93"/>
      <c r="L42" s="93"/>
      <c r="M42" s="93"/>
      <c r="N42" s="93"/>
      <c r="O42" s="93"/>
      <c r="P42" s="93"/>
      <c r="Q42" s="167" t="s">
        <v>149</v>
      </c>
      <c r="R42" s="167"/>
      <c r="S42" s="167"/>
      <c r="T42" s="167"/>
      <c r="U42" s="167"/>
      <c r="V42" s="167"/>
      <c r="W42" s="167"/>
      <c r="X42" s="167"/>
      <c r="Y42" s="167"/>
      <c r="Z42" s="167"/>
      <c r="AA42" s="178" t="s">
        <v>88</v>
      </c>
      <c r="AB42" s="178"/>
      <c r="AC42" s="178"/>
      <c r="AD42" s="178"/>
      <c r="AE42" s="178"/>
      <c r="AF42" s="93"/>
    </row>
    <row r="43" spans="1:32" ht="16" customHeight="1">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c r="AE43" s="93"/>
      <c r="AF43" s="93"/>
    </row>
    <row r="44" spans="1:32" ht="16" customHeigh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row>
    <row r="45" spans="1:32" ht="25" customHeight="1">
      <c r="A45" s="93"/>
      <c r="B45" s="177" t="s">
        <v>89</v>
      </c>
      <c r="C45" s="177"/>
      <c r="D45" s="177"/>
      <c r="E45" s="177"/>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row>
    <row r="46" spans="1:32" ht="13" customHeight="1">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row>
    <row r="47" spans="1:32" ht="18" customHeight="1">
      <c r="A47" s="93"/>
      <c r="B47" s="175" t="s">
        <v>152</v>
      </c>
      <c r="C47" s="176"/>
      <c r="D47" s="176"/>
      <c r="E47" s="176"/>
      <c r="F47" s="176"/>
      <c r="G47" s="176"/>
      <c r="H47" s="176"/>
      <c r="I47" s="176"/>
      <c r="J47" s="176"/>
      <c r="K47" s="176"/>
      <c r="L47" s="176"/>
      <c r="M47" s="176"/>
      <c r="N47" s="176"/>
      <c r="O47" s="93"/>
      <c r="P47" s="175" t="s">
        <v>153</v>
      </c>
      <c r="Q47" s="176"/>
      <c r="R47" s="176"/>
      <c r="S47" s="176"/>
      <c r="T47" s="176"/>
      <c r="U47" s="176"/>
      <c r="V47" s="176"/>
      <c r="W47" s="176"/>
      <c r="X47" s="176"/>
      <c r="Y47" s="176"/>
      <c r="Z47" s="176"/>
      <c r="AA47" s="176"/>
      <c r="AB47" s="176"/>
      <c r="AC47" s="176"/>
      <c r="AD47" s="176"/>
      <c r="AE47" s="176"/>
      <c r="AF47" s="93"/>
    </row>
    <row r="48" spans="1:32" ht="18" customHeight="1">
      <c r="A48" s="93"/>
      <c r="B48" s="176"/>
      <c r="C48" s="176"/>
      <c r="D48" s="176"/>
      <c r="E48" s="176"/>
      <c r="F48" s="176"/>
      <c r="G48" s="176"/>
      <c r="H48" s="176"/>
      <c r="I48" s="176"/>
      <c r="J48" s="176"/>
      <c r="K48" s="176"/>
      <c r="L48" s="176"/>
      <c r="M48" s="176"/>
      <c r="N48" s="176"/>
      <c r="O48" s="93"/>
      <c r="P48" s="176"/>
      <c r="Q48" s="176"/>
      <c r="R48" s="176"/>
      <c r="S48" s="176"/>
      <c r="T48" s="176"/>
      <c r="U48" s="176"/>
      <c r="V48" s="176"/>
      <c r="W48" s="176"/>
      <c r="X48" s="176"/>
      <c r="Y48" s="176"/>
      <c r="Z48" s="176"/>
      <c r="AA48" s="176"/>
      <c r="AB48" s="176"/>
      <c r="AC48" s="176"/>
      <c r="AD48" s="176"/>
      <c r="AE48" s="176"/>
      <c r="AF48" s="93"/>
    </row>
    <row r="49" spans="1:32" ht="18" customHeight="1">
      <c r="A49" s="93"/>
      <c r="B49" s="175" t="s">
        <v>154</v>
      </c>
      <c r="C49" s="176"/>
      <c r="D49" s="176"/>
      <c r="E49" s="176"/>
      <c r="F49" s="176"/>
      <c r="G49" s="176"/>
      <c r="H49" s="176"/>
      <c r="I49" s="176"/>
      <c r="J49" s="176"/>
      <c r="K49" s="176"/>
      <c r="L49" s="176"/>
      <c r="M49" s="176"/>
      <c r="N49" s="176"/>
      <c r="O49" s="93"/>
      <c r="P49" s="175" t="s">
        <v>155</v>
      </c>
      <c r="Q49" s="176"/>
      <c r="R49" s="176"/>
      <c r="S49" s="176"/>
      <c r="T49" s="176"/>
      <c r="U49" s="176"/>
      <c r="V49" s="176"/>
      <c r="W49" s="176"/>
      <c r="X49" s="176"/>
      <c r="Y49" s="176"/>
      <c r="Z49" s="176"/>
      <c r="AA49" s="176"/>
      <c r="AB49" s="176"/>
      <c r="AC49" s="176"/>
      <c r="AD49" s="176"/>
      <c r="AE49" s="176"/>
      <c r="AF49" s="93"/>
    </row>
    <row r="50" spans="1:32" ht="18" customHeight="1">
      <c r="A50" s="93"/>
      <c r="B50" s="176"/>
      <c r="C50" s="176"/>
      <c r="D50" s="176"/>
      <c r="E50" s="176"/>
      <c r="F50" s="176"/>
      <c r="G50" s="176"/>
      <c r="H50" s="176"/>
      <c r="I50" s="176"/>
      <c r="J50" s="176"/>
      <c r="K50" s="176"/>
      <c r="L50" s="176"/>
      <c r="M50" s="176"/>
      <c r="N50" s="176"/>
      <c r="O50" s="93"/>
      <c r="P50" s="176"/>
      <c r="Q50" s="176"/>
      <c r="R50" s="176"/>
      <c r="S50" s="176"/>
      <c r="T50" s="176"/>
      <c r="U50" s="176"/>
      <c r="V50" s="176"/>
      <c r="W50" s="176"/>
      <c r="X50" s="176"/>
      <c r="Y50" s="176"/>
      <c r="Z50" s="176"/>
      <c r="AA50" s="176"/>
      <c r="AB50" s="176"/>
      <c r="AC50" s="176"/>
      <c r="AD50" s="176"/>
      <c r="AE50" s="176"/>
      <c r="AF50" s="93"/>
    </row>
    <row r="51" spans="1:32" ht="18" customHeight="1">
      <c r="A51" s="93"/>
      <c r="B51" s="175" t="s">
        <v>90</v>
      </c>
      <c r="C51" s="176"/>
      <c r="D51" s="176"/>
      <c r="E51" s="176"/>
      <c r="F51" s="176"/>
      <c r="G51" s="176"/>
      <c r="H51" s="176"/>
      <c r="I51" s="176"/>
      <c r="J51" s="176"/>
      <c r="K51" s="176"/>
      <c r="L51" s="176"/>
      <c r="M51" s="176"/>
      <c r="N51" s="176"/>
      <c r="O51" s="93"/>
      <c r="P51" s="175" t="s">
        <v>91</v>
      </c>
      <c r="Q51" s="176"/>
      <c r="R51" s="176"/>
      <c r="S51" s="176"/>
      <c r="T51" s="176"/>
      <c r="U51" s="176"/>
      <c r="V51" s="176"/>
      <c r="W51" s="176"/>
      <c r="X51" s="176"/>
      <c r="Y51" s="176"/>
      <c r="Z51" s="176"/>
      <c r="AA51" s="176"/>
      <c r="AB51" s="176"/>
      <c r="AC51" s="176"/>
      <c r="AD51" s="176"/>
      <c r="AE51" s="176"/>
      <c r="AF51" s="93"/>
    </row>
    <row r="52" spans="1:32" ht="18" customHeight="1">
      <c r="A52" s="93"/>
      <c r="B52" s="176"/>
      <c r="C52" s="176"/>
      <c r="D52" s="176"/>
      <c r="E52" s="176"/>
      <c r="F52" s="176"/>
      <c r="G52" s="176"/>
      <c r="H52" s="176"/>
      <c r="I52" s="176"/>
      <c r="J52" s="176"/>
      <c r="K52" s="176"/>
      <c r="L52" s="176"/>
      <c r="M52" s="176"/>
      <c r="N52" s="176"/>
      <c r="O52" s="93"/>
      <c r="P52" s="176"/>
      <c r="Q52" s="176"/>
      <c r="R52" s="176"/>
      <c r="S52" s="176"/>
      <c r="T52" s="176"/>
      <c r="U52" s="176"/>
      <c r="V52" s="176"/>
      <c r="W52" s="176"/>
      <c r="X52" s="176"/>
      <c r="Y52" s="176"/>
      <c r="Z52" s="176"/>
      <c r="AA52" s="176"/>
      <c r="AB52" s="176"/>
      <c r="AC52" s="176"/>
      <c r="AD52" s="176"/>
      <c r="AE52" s="176"/>
      <c r="AF52" s="93"/>
    </row>
    <row r="53" spans="1:32" ht="16" customHeight="1">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93"/>
    </row>
    <row r="54" spans="1:32" ht="8" customHeigh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row>
    <row r="55" spans="1:32" ht="20" customHeight="1">
      <c r="A55" s="93"/>
      <c r="B55" s="180" t="s">
        <v>128</v>
      </c>
      <c r="C55" s="180"/>
      <c r="D55" s="180"/>
      <c r="E55" s="180"/>
      <c r="F55" s="180"/>
      <c r="G55" s="180"/>
      <c r="H55" s="180"/>
      <c r="I55" s="180"/>
      <c r="J55" s="180"/>
      <c r="K55" s="180"/>
      <c r="L55" s="180"/>
      <c r="M55" s="180"/>
      <c r="N55" s="180"/>
      <c r="O55" s="180"/>
      <c r="P55" s="184" t="s">
        <v>129</v>
      </c>
      <c r="Q55" s="185"/>
      <c r="R55" s="185"/>
      <c r="S55" s="185"/>
      <c r="T55" s="185"/>
      <c r="U55" s="185"/>
      <c r="V55" s="185"/>
      <c r="W55" s="185"/>
      <c r="X55" s="185"/>
      <c r="Y55" s="185"/>
      <c r="Z55" s="185"/>
      <c r="AA55" s="185"/>
      <c r="AB55" s="185"/>
      <c r="AC55" s="185"/>
      <c r="AD55" s="185"/>
      <c r="AE55" s="185"/>
      <c r="AF55" s="93"/>
    </row>
    <row r="56" spans="1:32">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row>
    <row r="57" spans="1:32">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row>
    <row r="58" spans="1:32">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row>
    <row r="59" spans="1:32">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row>
    <row r="60" spans="1:32">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row>
    <row r="61" spans="1:32">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row>
    <row r="62" spans="1:3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row>
    <row r="63" spans="1:32">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row>
    <row r="64" spans="1:32">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row>
    <row r="65" spans="1:32">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c r="AF65" s="93"/>
    </row>
    <row r="66" spans="1:32">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row>
    <row r="67" spans="1:32">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row>
    <row r="68" spans="1:32">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row>
    <row r="69" spans="1:32">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row>
    <row r="70" spans="1:32">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row>
    <row r="71" spans="1:32">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c r="AF71" s="93"/>
    </row>
    <row r="72" spans="1:3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row>
    <row r="73" spans="1:32">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row>
    <row r="74" spans="1:32">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row>
    <row r="75" spans="1:32">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row>
    <row r="76" spans="1:32">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row>
    <row r="77" spans="1:32">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row>
    <row r="78" spans="1:32">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row>
    <row r="79" spans="1:32">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row>
    <row r="80" spans="1:32">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row>
    <row r="81" spans="1:32">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row>
    <row r="82" spans="1:3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row>
    <row r="83" spans="1:32">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row>
    <row r="84" spans="1:32">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row>
    <row r="85" spans="1:32">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row>
  </sheetData>
  <mergeCells count="40">
    <mergeCell ref="B55:O55"/>
    <mergeCell ref="B34:K34"/>
    <mergeCell ref="Q34:Z34"/>
    <mergeCell ref="B8:E8"/>
    <mergeCell ref="B2:G2"/>
    <mergeCell ref="Q30:AE30"/>
    <mergeCell ref="AA38:AE38"/>
    <mergeCell ref="AA36:AE36"/>
    <mergeCell ref="W8:AE8"/>
    <mergeCell ref="P13:U13"/>
    <mergeCell ref="W13:AE13"/>
    <mergeCell ref="P55:AE55"/>
    <mergeCell ref="P10:U10"/>
    <mergeCell ref="W10:AE10"/>
    <mergeCell ref="P15:U15"/>
    <mergeCell ref="W15:AE15"/>
    <mergeCell ref="AA42:AE42"/>
    <mergeCell ref="AA40:AE40"/>
    <mergeCell ref="Q42:Z42"/>
    <mergeCell ref="B47:N48"/>
    <mergeCell ref="P47:AE48"/>
    <mergeCell ref="B49:N50"/>
    <mergeCell ref="P49:AE50"/>
    <mergeCell ref="B51:N52"/>
    <mergeCell ref="P51:AE52"/>
    <mergeCell ref="B45:E45"/>
    <mergeCell ref="D30:F30"/>
    <mergeCell ref="H30:J30"/>
    <mergeCell ref="L30:N30"/>
    <mergeCell ref="B36:N40"/>
    <mergeCell ref="Q36:Z36"/>
    <mergeCell ref="Q38:Z38"/>
    <mergeCell ref="Q40:Z40"/>
    <mergeCell ref="B27:C27"/>
    <mergeCell ref="P8:U8"/>
    <mergeCell ref="B3:AE5"/>
    <mergeCell ref="B10:N15"/>
    <mergeCell ref="B16:N17"/>
    <mergeCell ref="B23:C23"/>
    <mergeCell ref="B25:C25"/>
  </mergeCells>
  <conditionalFormatting sqref="D21:AE21">
    <cfRule type="cellIs" dxfId="8" priority="5" operator="equal">
      <formula>"Period"</formula>
    </cfRule>
    <cfRule type="cellIs" dxfId="7" priority="6" operator="equal">
      <formula>"Follicular"</formula>
    </cfRule>
    <cfRule type="cellIs" dxfId="6" priority="7" operator="equal">
      <formula>"Ovulation"</formula>
    </cfRule>
    <cfRule type="cellIs" dxfId="5" priority="8" operator="equal">
      <formula>"Mid Luteal"</formula>
    </cfRule>
    <cfRule type="cellIs" dxfId="4" priority="9" operator="equal">
      <formula>"Late Luteal"</formula>
    </cfRule>
  </conditionalFormatting>
  <conditionalFormatting sqref="D23:AE27">
    <cfRule type="cellIs" dxfId="3" priority="1" operator="equal">
      <formula>"Good"</formula>
    </cfRule>
    <cfRule type="cellIs" dxfId="2" priority="2" operator="equal">
      <formula>"Okay"</formula>
    </cfRule>
    <cfRule type="cellIs" dxfId="1" priority="3" operator="equal">
      <formula>"Low"</formula>
    </cfRule>
    <cfRule type="cellIs" dxfId="0" priority="4" operator="equal">
      <formula>""</formula>
    </cfRule>
  </conditionalFormatting>
  <printOptions horizontalCentered="1"/>
  <pageMargins left="0.5" right="0.5" top="0.5" bottom="0.5" header="0.25" footer="0.25"/>
  <pageSetup paperSize="9" scale="6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How to Use</vt:lpstr>
      <vt:lpstr>Setup</vt:lpstr>
      <vt:lpstr>Tracker</vt:lpstr>
      <vt:lpstr>Dashboard</vt:lpstr>
      <vt:lpstr>FAQ</vt:lpstr>
      <vt:lpstr>Your Doctor Visit</vt:lpstr>
      <vt:lpstr>Symptom Pattern Report</vt:lpstr>
      <vt:lpstr>'Symptom Pattern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Kirsty Horton</cp:lastModifiedBy>
  <dcterms:created xsi:type="dcterms:W3CDTF">2026-05-03T21:50:33Z</dcterms:created>
  <dcterms:modified xsi:type="dcterms:W3CDTF">2026-09-09T09:41:27Z</dcterms:modified>
</cp:coreProperties>
</file>